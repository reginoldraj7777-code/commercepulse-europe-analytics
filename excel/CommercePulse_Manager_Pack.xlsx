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03541ef8d24d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443bbafea4413d"/>
    <x:sheet xmlns:r="http://schemas.openxmlformats.org/officeDocument/2006/relationships" name="Monthly KPI" sheetId="2" r:id="R5b689894865e4ef1"/>
    <x:sheet xmlns:r="http://schemas.openxmlformats.org/officeDocument/2006/relationships" name="Exceptions" sheetId="3" r:id="R372e46d489a9492a"/>
    <x:sheet xmlns:r="http://schemas.openxmlformats.org/officeDocument/2006/relationships" name="Action Register" sheetId="4" r:id="R5dbfdcf82b894c8a"/>
    <x:sheet xmlns:r="http://schemas.openxmlformats.org/officeDocument/2006/relationships" name="Forecast" sheetId="5" r:id="R3cd9bda42cb54022"/>
    <x:sheet xmlns:r="http://schemas.openxmlformats.org/officeDocument/2006/relationships" name="Definitions" sheetId="6" r:id="R9eff287ac05648ae"/>
    <x:sheet xmlns:r="http://schemas.openxmlformats.org/officeDocument/2006/relationships" name="Sources" sheetId="7" r:id="R45ccdda5b55a43f0"/>
    <x:sheet xmlns:r="http://schemas.openxmlformats.org/officeDocument/2006/relationships" name="Checks" sheetId="8" r:id="Rbf953e396f354841"/>
  </x:sheets>
</x:workbook>
</file>

<file path=xl/comments1.xml><?xml version="1.0" encoding="utf-8"?>
<x:comments xmlns:x="http://schemas.openxmlformats.org/spreadsheetml/2006/main">
  <x:authors>
    <x:author>tc={20E1EFBF-0D17-67F7-929A-763349E2A25A}</x:author>
    <x:author>tc={4A0167E7-06AF-A8AF-F3F0-A395CFF47E36}</x:author>
  </x:authors>
  <x:commentList>
    <x:comment ref="F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Primary source: https://www.ecb.europa.eu/stats/policy_and_exchange_rates/euro_reference_exchange_rates/html/index.en.html
Cached to preserve reproducibility and avoid live-network dependence.</x:t>
        </x:r>
      </x:text>
    </x:comment>
    <x:comment ref="D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Generator seed 20260813; manifest SHA-256 hashes record every generated table.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mmm yyyy"/>
    <x:numFmt numFmtId="201" formatCode="€#,##0;[Red]-€#,##0"/>
    <x:numFmt numFmtId="202" formatCode="0.0%"/>
    <x:numFmt numFmtId="203" formatCode="0.0x"/>
    <x:numFmt numFmtId="204" formatCode="€#,##0"/>
    <x:numFmt numFmtId="205" formatCode="0.0 &quot;pp&quot;;[Red]-0.0 &quot;pp&quot;"/>
    <x:numFmt numFmtId="206" formatCode="0%"/>
  </x:numFmts>
  <x:fonts count="27">
    <x:font>
      <x:sz val="11"/>
      <x:name val="Carlito"/>
    </x:font>
    <x:font>
      <x:b/>
      <x:sz val="20"/>
      <x:color rgb="FFFFFFFF"/>
      <x:name val="Carlito"/>
    </x:font>
    <x:font>
      <x:i/>
      <x:sz val="10"/>
      <x:color rgb="FF102A43"/>
      <x:name val="Carlito"/>
    </x:font>
    <x:font>
      <x:b/>
      <x:sz val="10"/>
      <x:color rgb="FFFFFFFF"/>
      <x:name val="Carlito"/>
    </x:font>
    <x:font>
      <x:sz val="9"/>
      <x:color rgb="FF102A43"/>
      <x:name val="Carlito"/>
    </x:font>
    <x:font>
      <x:sz val="11"/>
      <x:color rgb="FF102A43"/>
      <x:name val="Carlito"/>
    </x:font>
    <x:font>
      <x:b/>
      <x:sz val="9"/>
      <x:color rgb="FF52606D"/>
      <x:name val="Carlito"/>
    </x:font>
    <x:font>
      <x:b/>
      <x:sz val="17"/>
      <x:color rgb="FF102A43"/>
      <x:name val="Carlito"/>
    </x:font>
    <x:font>
      <x:b/>
      <x:sz val="11"/>
      <x:color rgb="FFA86103"/>
      <x:name val="Carlito"/>
    </x:font>
    <x:font>
      <x:b/>
      <x:sz val="11"/>
      <x:color rgb="FF102A43"/>
      <x:name val="Carlito"/>
    </x:font>
    <x:font>
      <x:b/>
      <x:sz val="9"/>
      <x:color rgb="FF102A43"/>
      <x:name val="Carlito"/>
    </x:font>
    <x:font>
      <x:b/>
      <x:sz val="10"/>
      <x:color rgb="FFA86103"/>
      <x:name val="Carlito"/>
    </x:font>
    <x:font>
      <x:b/>
      <x:sz val="10"/>
      <x:color rgb="FF52606D"/>
      <x:name val="Carlito"/>
    </x:font>
    <x:font>
      <x:b/>
      <x:sz val="12"/>
      <x:color rgb="FF102A43"/>
      <x:name val="Carlito"/>
    </x:font>
    <x:font>
      <x:b/>
      <x:sz val="20"/>
      <x:color rgb="FFFFFFFF"/>
      <x:name val="Aptos"/>
    </x:font>
    <x:font>
      <x:i/>
      <x:sz val="10"/>
      <x:color rgb="FF102A43"/>
      <x:name val="Aptos"/>
    </x:font>
    <x:font>
      <x:sz val="11"/>
      <x:name val="Aptos"/>
    </x:font>
    <x:font>
      <x:b/>
      <x:sz val="9"/>
      <x:color rgb="FF52606D"/>
      <x:name val="Aptos"/>
    </x:font>
    <x:font>
      <x:b/>
      <x:sz val="17"/>
      <x:color rgb="FF102A43"/>
      <x:name val="Aptos"/>
    </x:font>
    <x:font>
      <x:b/>
      <x:sz val="11"/>
      <x:color rgb="FFA86103"/>
      <x:name val="Aptos"/>
    </x:font>
    <x:font>
      <x:b/>
      <x:sz val="10"/>
      <x:color rgb="FFFFFFFF"/>
      <x:name val="Aptos"/>
    </x:font>
    <x:font>
      <x:b/>
      <x:sz val="11"/>
      <x:color rgb="FF102A43"/>
      <x:name val="Aptos"/>
    </x:font>
    <x:font>
      <x:b/>
      <x:sz val="9"/>
      <x:color rgb="FF102A43"/>
      <x:name val="Aptos"/>
    </x:font>
    <x:font>
      <x:sz val="9"/>
      <x:color rgb="FF102A43"/>
      <x:name val="Aptos"/>
    </x:font>
    <x:font>
      <x:b/>
      <x:sz val="10"/>
      <x:color rgb="FFA86103"/>
      <x:name val="Aptos"/>
    </x:font>
    <x:font>
      <x:b/>
      <x:sz val="10"/>
      <x:color rgb="FF52606D"/>
      <x:name val="Aptos"/>
    </x:font>
    <x:font>
      <x:b/>
      <x:sz val="12"/>
      <x:color rgb="FF102A43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DEBFA"/>
      </x:patternFill>
    </x:fill>
    <x:fill>
      <x:patternFill patternType="solid">
        <x:fgColor rgb="FF0F766E"/>
      </x:patternFill>
    </x:fill>
    <x:fill>
      <x:patternFill patternType="solid">
        <x:fgColor rgb="FFDCFCE7"/>
      </x:patternFill>
    </x:fill>
    <x:fill>
      <x:patternFill patternType="solid">
        <x:fgColor rgb="FFDDF4F1"/>
      </x:patternFill>
    </x:fill>
    <x:fill>
      <x:patternFill patternType="solid">
        <x:fgColor rgb="FFF3F6F8"/>
      </x:patternFill>
    </x:fill>
    <x:fill>
      <x:patternFill patternType="solid">
        <x:fgColor rgb="FFFEF3C7"/>
      </x:patternFill>
    </x:fill>
  </x:fills>
  <x:borders count="29">
    <x:border/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bottom style="thin">
        <x:color rgb="FFE8EEF3"/>
      </x:bottom>
    </x:border>
    <x:border>
      <x:top style="thin">
        <x:color rgb="FFE8EEF3"/>
      </x:top>
      <x:bottom style="thin">
        <x:color rgb="FFE8EEF3"/>
      </x:bottom>
    </x:border>
    <x:border>
      <x:top style="thin">
        <x:color rgb="FFE8EEF3"/>
      </x:top>
    </x:border>
    <x:border>
      <x:left style="thin">
        <x:color rgb="FFC9D5DF"/>
      </x:left>
      <x:top style="thin">
        <x:color rgb="FFC9D5DF"/>
      </x:top>
    </x:border>
    <x:border>
      <x:top style="thin">
        <x:color rgb="FFC9D5DF"/>
      </x:top>
    </x:border>
    <x:border>
      <x:right style="thin">
        <x:color rgb="FFC9D5DF"/>
      </x:right>
      <x:top style="thin">
        <x:color rgb="FFC9D5DF"/>
      </x:top>
    </x:border>
    <x:border>
      <x:left style="thin">
        <x:color rgb="FFC9D5DF"/>
      </x:left>
    </x:border>
    <x:border>
      <x:right style="thin">
        <x:color rgb="FFC9D5DF"/>
      </x:right>
    </x:border>
    <x:border>
      <x:left style="thin">
        <x:color rgb="FFC9D5DF"/>
      </x:left>
      <x:bottom style="thin">
        <x:color rgb="FFC9D5DF"/>
      </x:bottom>
    </x:border>
    <x:border>
      <x:bottom style="thin">
        <x:color rgb="FFC9D5DF"/>
      </x:bottom>
    </x:border>
    <x:border>
      <x:right style="thin">
        <x:color rgb="FFC9D5DF"/>
      </x:right>
      <x:bottom style="thin">
        <x:color rgb="FFC9D5DF"/>
      </x:bottom>
    </x:border>
    <x:border>
      <x:left style="thin">
        <x:color rgb="FFE5B769"/>
      </x:left>
      <x:top style="thin">
        <x:color rgb="FFE5B769"/>
      </x:top>
      <x:bottom style="thin">
        <x:color rgb="FFE5B769"/>
      </x:bottom>
    </x:border>
    <x:border>
      <x:top style="thin">
        <x:color rgb="FFE5B769"/>
      </x:top>
      <x:bottom style="thin">
        <x:color rgb="FFE5B769"/>
      </x:bottom>
    </x:border>
    <x:border>
      <x:right style="thin">
        <x:color rgb="FFE5B769"/>
      </x:right>
      <x:top style="thin">
        <x:color rgb="FFE5B769"/>
      </x:top>
      <x:bottom style="thin">
        <x:color rgb="FFE5B769"/>
      </x:bottom>
    </x:border>
    <x:border>
      <x:left style="thin">
        <x:color rgb="FFC9D5DF"/>
      </x:left>
      <x:top style="thin">
        <x:color rgb="FFC9D5DF"/>
      </x:top>
      <x:bottom style="thin">
        <x:color rgb="FFC9D5DF"/>
      </x:bottom>
    </x:border>
    <x:border>
      <x:top style="thin">
        <x:color rgb="FFC9D5DF"/>
      </x:top>
      <x:bottom style="thin">
        <x:color rgb="FFC9D5DF"/>
      </x:bottom>
    </x:border>
    <x:border>
      <x:right style="thin">
        <x:color rgb="FFC9D5DF"/>
      </x:right>
      <x:top style="thin">
        <x:color rgb="FFC9D5DF"/>
      </x:top>
      <x:bottom style="thin">
        <x:color rgb="FFC9D5DF"/>
      </x:bottom>
    </x:border>
    <x:border>
      <x:left style="thin">
        <x:color rgb="FFE5B769"/>
      </x:left>
      <x:top style="thin">
        <x:color rgb="FFE5B769"/>
      </x:top>
    </x:border>
    <x:border>
      <x:top style="thin">
        <x:color rgb="FFE5B769"/>
      </x:top>
    </x:border>
    <x:border>
      <x:right style="thin">
        <x:color rgb="FFE5B769"/>
      </x:right>
      <x:top style="thin">
        <x:color rgb="FFE5B769"/>
      </x:top>
    </x:border>
    <x:border>
      <x:left style="thin">
        <x:color rgb="FFE5B769"/>
      </x:left>
      <x:bottom style="thin">
        <x:color rgb="FFE5B769"/>
      </x:bottom>
    </x:border>
    <x:border>
      <x:bottom style="thin">
        <x:color rgb="FFE5B769"/>
      </x:bottom>
    </x:border>
    <x:border>
      <x:right style="thin">
        <x:color rgb="FFE5B769"/>
      </x:right>
      <x:bottom style="thin">
        <x:color rgb="FFE5B769"/>
      </x:bottom>
    </x:border>
    <x:border>
      <x:left style="thin">
        <x:color rgb="FFC9D5DF"/>
      </x:left>
      <x:right style="thin">
        <x:color rgb="FFC9D5DF"/>
      </x:right>
      <x:top style="thin">
        <x:color rgb="FFC9D5DF"/>
      </x:top>
    </x:border>
    <x:border>
      <x:left style="thin">
        <x:color rgb="FFC9D5DF"/>
      </x:left>
      <x:right style="thin">
        <x:color rgb="FFC9D5DF"/>
      </x:right>
      <x:bottom style="thin">
        <x:color rgb="FFC9D5DF"/>
      </x:bottom>
    </x:border>
  </x:borders>
  <x:cellStyleXfs count="1">
    <x:xf numFmtId="0" fontId="0" fillId="0" borderId="0"/>
  </x:cellStyleXfs>
  <x:cellXfs count="3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200" fontId="4" fillId="0" borderId="4" xfId="0" applyNumberFormat="1" applyFont="1" applyFill="1" applyBorder="1"/>
    <x:xf numFmtId="200" fontId="4" fillId="0" borderId="5" xfId="0" applyNumberFormat="1" applyFont="1" applyFill="1" applyBorder="1"/>
    <x:xf numFmtId="200" fontId="4" fillId="0" borderId="6" xfId="0" applyNumberFormat="1" applyFont="1" applyFill="1" applyBorder="1"/>
    <x:xf numFmtId="201" fontId="4" fillId="3" borderId="4" xfId="0" applyNumberFormat="1" applyFont="1" applyFill="1" applyBorder="1"/>
    <x:xf numFmtId="201" fontId="4" fillId="3" borderId="5" xfId="0" applyNumberFormat="1" applyFont="1" applyFill="1" applyBorder="1"/>
    <x:xf numFmtId="201" fontId="4" fillId="3" borderId="6" xfId="0" applyNumberFormat="1" applyFont="1" applyFill="1" applyBorder="1"/>
    <x:xf numFmtId="201" fontId="4" fillId="5" borderId="4" xfId="0" applyNumberFormat="1" applyFont="1" applyFill="1" applyBorder="1"/>
    <x:xf numFmtId="201" fontId="4" fillId="5" borderId="5" xfId="0" applyNumberFormat="1" applyFont="1" applyFill="1" applyBorder="1"/>
    <x:xf numFmtId="201" fontId="4" fillId="5" borderId="6" xfId="0" applyNumberFormat="1" applyFont="1" applyFill="1" applyBorder="1"/>
    <x:xf numFmtId="202" fontId="4" fillId="5" borderId="4" xfId="0" applyNumberFormat="1" applyFont="1" applyFill="1" applyBorder="1"/>
    <x:xf numFmtId="202" fontId="4" fillId="5" borderId="5" xfId="0" applyNumberFormat="1" applyFont="1" applyFill="1" applyBorder="1"/>
    <x:xf numFmtId="202" fontId="4" fillId="5" borderId="6" xfId="0" applyNumberFormat="1" applyFont="1" applyFill="1" applyBorder="1"/>
    <x:xf numFmtId="203" fontId="4" fillId="5" borderId="4" xfId="0" applyNumberFormat="1" applyFont="1" applyFill="1" applyBorder="1"/>
    <x:xf numFmtId="203" fontId="4" fillId="5" borderId="5" xfId="0" applyNumberFormat="1" applyFont="1" applyFill="1" applyBorder="1"/>
    <x:xf numFmtId="203" fontId="4" fillId="5" borderId="6" xfId="0" applyNumberFormat="1" applyFont="1" applyFill="1" applyBorder="1"/>
    <x:xf numFmtId="0" fontId="4" fillId="3" borderId="4" xfId="0" applyNumberFormat="1" applyFont="1" applyFill="1" applyBorder="1" applyAlignment="1">
      <x:alignment horizontal="right"/>
    </x:xf>
    <x:xf numFmtId="202" fontId="4" fillId="5" borderId="4" xfId="0" applyNumberFormat="1" applyFont="1" applyFill="1" applyBorder="1" applyAlignment="1">
      <x:alignment horizontal="right"/>
    </x:xf>
    <x:xf numFmtId="201" fontId="4" fillId="3" borderId="4" xfId="0" applyNumberFormat="1" applyFont="1" applyFill="1" applyBorder="1" applyAlignment="1">
      <x:alignment horizontal="right"/>
    </x:xf>
    <x:xf numFmtId="201" fontId="4" fillId="5" borderId="4" xfId="0" applyNumberFormat="1" applyFont="1" applyFill="1" applyBorder="1" applyAlignment="1">
      <x:alignment horizontal="right"/>
    </x:xf>
    <x:xf numFmtId="0" fontId="4" fillId="3" borderId="5" xfId="0" applyNumberFormat="1" applyFont="1" applyFill="1" applyBorder="1" applyAlignment="1">
      <x:alignment horizontal="right"/>
    </x:xf>
    <x:xf numFmtId="202" fontId="4" fillId="5" borderId="5" xfId="0" applyNumberFormat="1" applyFont="1" applyFill="1" applyBorder="1" applyAlignment="1">
      <x:alignment horizontal="right"/>
    </x:xf>
    <x:xf numFmtId="201" fontId="4" fillId="3" borderId="5" xfId="0" applyNumberFormat="1" applyFont="1" applyFill="1" applyBorder="1" applyAlignment="1">
      <x:alignment horizontal="right"/>
    </x:xf>
    <x:xf numFmtId="201" fontId="4" fillId="5" borderId="5" xfId="0" applyNumberFormat="1" applyFont="1" applyFill="1" applyBorder="1" applyAlignment="1">
      <x:alignment horizontal="right"/>
    </x:xf>
    <x:xf numFmtId="0" fontId="4" fillId="3" borderId="6" xfId="0" applyNumberFormat="1" applyFont="1" applyFill="1" applyBorder="1" applyAlignment="1">
      <x:alignment horizontal="right"/>
    </x:xf>
    <x:xf numFmtId="202" fontId="4" fillId="5" borderId="6" xfId="0" applyNumberFormat="1" applyFont="1" applyFill="1" applyBorder="1" applyAlignment="1">
      <x:alignment horizontal="right"/>
    </x:xf>
    <x:xf numFmtId="201" fontId="4" fillId="3" borderId="6" xfId="0" applyNumberFormat="1" applyFont="1" applyFill="1" applyBorder="1" applyAlignment="1">
      <x:alignment horizontal="right"/>
    </x:xf>
    <x:xf numFmtId="201" fontId="4" fillId="5" borderId="6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7" xfId="0" applyNumberFormat="1" applyFont="1" applyFill="1" applyBorder="1" applyAlignment="1">
      <x:alignment vertical="center"/>
    </x:xf>
    <x:xf numFmtId="0" fontId="5" fillId="6" borderId="8" xfId="0" applyNumberFormat="1" applyFont="1" applyFill="1" applyBorder="1" applyAlignment="1">
      <x:alignment vertical="center"/>
    </x:xf>
    <x:xf numFmtId="0" fontId="5" fillId="6" borderId="9" xfId="0" applyNumberFormat="1" applyFont="1" applyFill="1" applyBorder="1" applyAlignment="1">
      <x:alignment vertical="center"/>
    </x:xf>
    <x:xf numFmtId="0" fontId="5" fillId="6" borderId="1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11" xfId="0" applyNumberFormat="1" applyFont="1" applyFill="1" applyBorder="1" applyAlignment="1">
      <x:alignment vertical="center"/>
    </x:xf>
    <x:xf numFmtId="0" fontId="5" fillId="6" borderId="12" xfId="0" applyNumberFormat="1" applyFont="1" applyFill="1" applyBorder="1" applyAlignment="1">
      <x:alignment vertical="center"/>
    </x:xf>
    <x:xf numFmtId="0" fontId="5" fillId="6" borderId="13" xfId="0" applyNumberFormat="1" applyFont="1" applyFill="1" applyBorder="1" applyAlignment="1">
      <x:alignment vertical="center"/>
    </x:xf>
    <x:xf numFmtId="0" fontId="5" fillId="6" borderId="14" xfId="0" applyNumberFormat="1" applyFont="1" applyFill="1" applyBorder="1" applyAlignment="1">
      <x:alignment vertical="center"/>
    </x:xf>
    <x:xf numFmtId="0" fontId="6" fillId="6" borderId="7" xfId="0" applyNumberFormat="1" applyFont="1" applyFill="1" applyBorder="1" applyAlignment="1">
      <x:alignment vertical="center"/>
    </x:xf>
    <x:xf numFmtId="0" fontId="6" fillId="6" borderId="8" xfId="0" applyNumberFormat="1" applyFont="1" applyFill="1" applyBorder="1" applyAlignment="1">
      <x:alignment vertical="center"/>
    </x:xf>
    <x:xf numFmtId="0" fontId="6" fillId="6" borderId="9" xfId="0" applyNumberFormat="1" applyFont="1" applyFill="1" applyBorder="1" applyAlignment="1">
      <x:alignment vertical="center"/>
    </x:xf>
    <x:xf numFmtId="0" fontId="7" fillId="6" borderId="1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6" borderId="11" xfId="0" applyNumberFormat="1" applyFont="1" applyFill="1" applyBorder="1" applyAlignment="1">
      <x:alignment vertical="center"/>
    </x:xf>
    <x:xf numFmtId="0" fontId="7" fillId="6" borderId="12" xfId="0" applyNumberFormat="1" applyFont="1" applyFill="1" applyBorder="1" applyAlignment="1">
      <x:alignment vertical="center"/>
    </x:xf>
    <x:xf numFmtId="0" fontId="7" fillId="6" borderId="13" xfId="0" applyNumberFormat="1" applyFont="1" applyFill="1" applyBorder="1" applyAlignment="1">
      <x:alignment vertical="center"/>
    </x:xf>
    <x:xf numFmtId="0" fontId="7" fillId="6" borderId="14" xfId="0" applyNumberFormat="1" applyFont="1" applyFill="1" applyBorder="1" applyAlignment="1">
      <x:alignment vertical="center"/>
    </x:xf>
    <x:xf numFmtId="204" fontId="7" fillId="6" borderId="10" xfId="0" applyNumberFormat="1" applyFont="1" applyFill="1" applyBorder="1" applyAlignment="1">
      <x:alignment vertical="center"/>
    </x:xf>
    <x:xf numFmtId="204" fontId="7" fillId="6" borderId="0" xfId="0" applyNumberFormat="1" applyFont="1" applyFill="1" applyBorder="1" applyAlignment="1">
      <x:alignment vertical="center"/>
    </x:xf>
    <x:xf numFmtId="204" fontId="7" fillId="6" borderId="11" xfId="0" applyNumberFormat="1" applyFont="1" applyFill="1" applyBorder="1" applyAlignment="1">
      <x:alignment vertical="center"/>
    </x:xf>
    <x:xf numFmtId="204" fontId="7" fillId="6" borderId="12" xfId="0" applyNumberFormat="1" applyFont="1" applyFill="1" applyBorder="1" applyAlignment="1">
      <x:alignment vertical="center"/>
    </x:xf>
    <x:xf numFmtId="204" fontId="7" fillId="6" borderId="13" xfId="0" applyNumberFormat="1" applyFont="1" applyFill="1" applyBorder="1" applyAlignment="1">
      <x:alignment vertical="center"/>
    </x:xf>
    <x:xf numFmtId="204" fontId="7" fillId="6" borderId="14" xfId="0" applyNumberFormat="1" applyFont="1" applyFill="1" applyBorder="1" applyAlignment="1">
      <x:alignment vertical="center"/>
    </x:xf>
    <x:xf numFmtId="201" fontId="7" fillId="6" borderId="10" xfId="0" applyNumberFormat="1" applyFont="1" applyFill="1" applyBorder="1" applyAlignment="1">
      <x:alignment vertical="center"/>
    </x:xf>
    <x:xf numFmtId="201" fontId="7" fillId="6" borderId="0" xfId="0" applyNumberFormat="1" applyFont="1" applyFill="1" applyBorder="1" applyAlignment="1">
      <x:alignment vertical="center"/>
    </x:xf>
    <x:xf numFmtId="201" fontId="7" fillId="6" borderId="11" xfId="0" applyNumberFormat="1" applyFont="1" applyFill="1" applyBorder="1" applyAlignment="1">
      <x:alignment vertical="center"/>
    </x:xf>
    <x:xf numFmtId="201" fontId="7" fillId="6" borderId="12" xfId="0" applyNumberFormat="1" applyFont="1" applyFill="1" applyBorder="1" applyAlignment="1">
      <x:alignment vertical="center"/>
    </x:xf>
    <x:xf numFmtId="201" fontId="7" fillId="6" borderId="13" xfId="0" applyNumberFormat="1" applyFont="1" applyFill="1" applyBorder="1" applyAlignment="1">
      <x:alignment vertical="center"/>
    </x:xf>
    <x:xf numFmtId="201" fontId="7" fillId="6" borderId="14" xfId="0" applyNumberFormat="1" applyFont="1" applyFill="1" applyBorder="1" applyAlignment="1">
      <x:alignment vertical="center"/>
    </x:xf>
    <x:xf numFmtId="202" fontId="7" fillId="6" borderId="10" xfId="0" applyNumberFormat="1" applyFont="1" applyFill="1" applyBorder="1" applyAlignment="1">
      <x:alignment vertical="center"/>
    </x:xf>
    <x:xf numFmtId="202" fontId="7" fillId="6" borderId="0" xfId="0" applyNumberFormat="1" applyFont="1" applyFill="1" applyBorder="1" applyAlignment="1">
      <x:alignment vertical="center"/>
    </x:xf>
    <x:xf numFmtId="202" fontId="7" fillId="6" borderId="11" xfId="0" applyNumberFormat="1" applyFont="1" applyFill="1" applyBorder="1" applyAlignment="1">
      <x:alignment vertical="center"/>
    </x:xf>
    <x:xf numFmtId="202" fontId="7" fillId="6" borderId="12" xfId="0" applyNumberFormat="1" applyFont="1" applyFill="1" applyBorder="1" applyAlignment="1">
      <x:alignment vertical="center"/>
    </x:xf>
    <x:xf numFmtId="202" fontId="7" fillId="6" borderId="13" xfId="0" applyNumberFormat="1" applyFont="1" applyFill="1" applyBorder="1" applyAlignment="1">
      <x:alignment vertical="center"/>
    </x:xf>
    <x:xf numFmtId="202" fontId="7" fillId="6" borderId="14" xfId="0" applyNumberFormat="1" applyFont="1" applyFill="1" applyBorder="1" applyAlignment="1">
      <x:alignment vertical="center"/>
    </x:xf>
    <x:xf numFmtId="203" fontId="7" fillId="6" borderId="10" xfId="0" applyNumberFormat="1" applyFont="1" applyFill="1" applyBorder="1" applyAlignment="1">
      <x:alignment vertical="center"/>
    </x:xf>
    <x:xf numFmtId="203" fontId="7" fillId="6" borderId="0" xfId="0" applyNumberFormat="1" applyFont="1" applyFill="1" applyBorder="1" applyAlignment="1">
      <x:alignment vertical="center"/>
    </x:xf>
    <x:xf numFmtId="203" fontId="7" fillId="6" borderId="11" xfId="0" applyNumberFormat="1" applyFont="1" applyFill="1" applyBorder="1" applyAlignment="1">
      <x:alignment vertical="center"/>
    </x:xf>
    <x:xf numFmtId="203" fontId="7" fillId="6" borderId="12" xfId="0" applyNumberFormat="1" applyFont="1" applyFill="1" applyBorder="1" applyAlignment="1">
      <x:alignment vertical="center"/>
    </x:xf>
    <x:xf numFmtId="203" fontId="7" fillId="6" borderId="13" xfId="0" applyNumberFormat="1" applyFont="1" applyFill="1" applyBorder="1" applyAlignment="1">
      <x:alignment vertical="center"/>
    </x:xf>
    <x:xf numFmtId="203" fontId="7" fillId="6" borderId="14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7" xfId="0" applyNumberFormat="1" applyFont="1" applyFill="1" applyBorder="1"/>
    <x:xf numFmtId="0" fontId="5" fillId="7" borderId="8" xfId="0" applyNumberFormat="1" applyFont="1" applyFill="1" applyBorder="1"/>
    <x:xf numFmtId="0" fontId="5" fillId="7" borderId="9" xfId="0" applyNumberFormat="1" applyFont="1" applyFill="1" applyBorder="1"/>
    <x:xf numFmtId="0" fontId="5" fillId="7" borderId="10" xfId="0" applyNumberFormat="1" applyFont="1" applyFill="1" applyBorder="1"/>
    <x:xf numFmtId="0" fontId="5" fillId="7" borderId="11" xfId="0" applyNumberFormat="1" applyFont="1" applyFill="1" applyBorder="1"/>
    <x:xf numFmtId="0" fontId="5" fillId="7" borderId="12" xfId="0" applyNumberFormat="1" applyFont="1" applyFill="1" applyBorder="1"/>
    <x:xf numFmtId="0" fontId="5" fillId="7" borderId="13" xfId="0" applyNumberFormat="1" applyFont="1" applyFill="1" applyBorder="1"/>
    <x:xf numFmtId="0" fontId="5" fillId="7" borderId="14" xfId="0" applyNumberFormat="1" applyFont="1" applyFill="1" applyBorder="1"/>
    <x:xf numFmtId="0" fontId="5" fillId="7" borderId="7" xfId="0" applyNumberFormat="1" applyFont="1" applyFill="1" applyBorder="1" applyAlignment="1">
      <x:alignment vertical="center"/>
    </x:xf>
    <x:xf numFmtId="0" fontId="5" fillId="7" borderId="8" xfId="0" applyNumberFormat="1" applyFont="1" applyFill="1" applyBorder="1" applyAlignment="1">
      <x:alignment vertical="center"/>
    </x:xf>
    <x:xf numFmtId="0" fontId="5" fillId="7" borderId="9" xfId="0" applyNumberFormat="1" applyFont="1" applyFill="1" applyBorder="1" applyAlignment="1">
      <x:alignment vertical="center"/>
    </x:xf>
    <x:xf numFmtId="0" fontId="5" fillId="7" borderId="1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5" fillId="7" borderId="11" xfId="0" applyNumberFormat="1" applyFont="1" applyFill="1" applyBorder="1" applyAlignment="1">
      <x:alignment vertical="center"/>
    </x:xf>
    <x:xf numFmtId="0" fontId="5" fillId="7" borderId="12" xfId="0" applyNumberFormat="1" applyFont="1" applyFill="1" applyBorder="1" applyAlignment="1">
      <x:alignment vertical="center"/>
    </x:xf>
    <x:xf numFmtId="0" fontId="5" fillId="7" borderId="13" xfId="0" applyNumberFormat="1" applyFont="1" applyFill="1" applyBorder="1" applyAlignment="1">
      <x:alignment vertical="center"/>
    </x:xf>
    <x:xf numFmtId="0" fontId="5" fillId="7" borderId="14" xfId="0" applyNumberFormat="1" applyFont="1" applyFill="1" applyBorder="1" applyAlignment="1">
      <x:alignment vertical="center"/>
    </x:xf>
    <x:xf numFmtId="0" fontId="6" fillId="7" borderId="7" xfId="0" applyNumberFormat="1" applyFont="1" applyFill="1" applyBorder="1" applyAlignment="1">
      <x:alignment vertical="center"/>
    </x:xf>
    <x:xf numFmtId="0" fontId="6" fillId="7" borderId="8" xfId="0" applyNumberFormat="1" applyFont="1" applyFill="1" applyBorder="1" applyAlignment="1">
      <x:alignment vertical="center"/>
    </x:xf>
    <x:xf numFmtId="0" fontId="6" fillId="7" borderId="9" xfId="0" applyNumberFormat="1" applyFont="1" applyFill="1" applyBorder="1" applyAlignment="1">
      <x:alignment vertical="center"/>
    </x:xf>
    <x:xf numFmtId="0" fontId="7" fillId="7" borderId="1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7" fillId="7" borderId="11" xfId="0" applyNumberFormat="1" applyFont="1" applyFill="1" applyBorder="1" applyAlignment="1">
      <x:alignment vertical="center"/>
    </x:xf>
    <x:xf numFmtId="0" fontId="7" fillId="7" borderId="12" xfId="0" applyNumberFormat="1" applyFont="1" applyFill="1" applyBorder="1" applyAlignment="1">
      <x:alignment vertical="center"/>
    </x:xf>
    <x:xf numFmtId="0" fontId="7" fillId="7" borderId="13" xfId="0" applyNumberFormat="1" applyFont="1" applyFill="1" applyBorder="1" applyAlignment="1">
      <x:alignment vertical="center"/>
    </x:xf>
    <x:xf numFmtId="0" fontId="7" fillId="7" borderId="14" xfId="0" applyNumberFormat="1" applyFont="1" applyFill="1" applyBorder="1" applyAlignment="1">
      <x:alignment vertical="center"/>
    </x:xf>
    <x:xf numFmtId="201" fontId="7" fillId="7" borderId="10" xfId="0" applyNumberFormat="1" applyFont="1" applyFill="1" applyBorder="1" applyAlignment="1">
      <x:alignment vertical="center"/>
    </x:xf>
    <x:xf numFmtId="201" fontId="7" fillId="7" borderId="0" xfId="0" applyNumberFormat="1" applyFont="1" applyFill="1" applyBorder="1" applyAlignment="1">
      <x:alignment vertical="center"/>
    </x:xf>
    <x:xf numFmtId="201" fontId="7" fillId="7" borderId="11" xfId="0" applyNumberFormat="1" applyFont="1" applyFill="1" applyBorder="1" applyAlignment="1">
      <x:alignment vertical="center"/>
    </x:xf>
    <x:xf numFmtId="201" fontId="7" fillId="7" borderId="12" xfId="0" applyNumberFormat="1" applyFont="1" applyFill="1" applyBorder="1" applyAlignment="1">
      <x:alignment vertical="center"/>
    </x:xf>
    <x:xf numFmtId="201" fontId="7" fillId="7" borderId="13" xfId="0" applyNumberFormat="1" applyFont="1" applyFill="1" applyBorder="1" applyAlignment="1">
      <x:alignment vertical="center"/>
    </x:xf>
    <x:xf numFmtId="201" fontId="7" fillId="7" borderId="14" xfId="0" applyNumberFormat="1" applyFont="1" applyFill="1" applyBorder="1" applyAlignment="1">
      <x:alignment vertical="center"/>
    </x:xf>
    <x:xf numFmtId="202" fontId="7" fillId="7" borderId="10" xfId="0" applyNumberFormat="1" applyFont="1" applyFill="1" applyBorder="1" applyAlignment="1">
      <x:alignment vertical="center"/>
    </x:xf>
    <x:xf numFmtId="202" fontId="7" fillId="7" borderId="0" xfId="0" applyNumberFormat="1" applyFont="1" applyFill="1" applyBorder="1" applyAlignment="1">
      <x:alignment vertical="center"/>
    </x:xf>
    <x:xf numFmtId="202" fontId="7" fillId="7" borderId="11" xfId="0" applyNumberFormat="1" applyFont="1" applyFill="1" applyBorder="1" applyAlignment="1">
      <x:alignment vertical="center"/>
    </x:xf>
    <x:xf numFmtId="202" fontId="7" fillId="7" borderId="12" xfId="0" applyNumberFormat="1" applyFont="1" applyFill="1" applyBorder="1" applyAlignment="1">
      <x:alignment vertical="center"/>
    </x:xf>
    <x:xf numFmtId="202" fontId="7" fillId="7" borderId="13" xfId="0" applyNumberFormat="1" applyFont="1" applyFill="1" applyBorder="1" applyAlignment="1">
      <x:alignment vertical="center"/>
    </x:xf>
    <x:xf numFmtId="202" fontId="7" fillId="7" borderId="14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15" xfId="0" applyNumberFormat="1" applyFont="1" applyFill="1" applyBorder="1"/>
    <x:xf numFmtId="0" fontId="8" fillId="8" borderId="16" xfId="0" applyNumberFormat="1" applyFont="1" applyFill="1" applyBorder="1"/>
    <x:xf numFmtId="0" fontId="8" fillId="8" borderId="17" xfId="0" applyNumberFormat="1" applyFont="1" applyFill="1" applyBorder="1"/>
    <x:xf numFmtId="0" fontId="8" fillId="8" borderId="15" xfId="0" applyNumberFormat="1" applyFont="1" applyFill="1" applyBorder="1" applyAlignment="1">
      <x:alignment wrapText="1"/>
    </x:xf>
    <x:xf numFmtId="0" fontId="8" fillId="8" borderId="16" xfId="0" applyNumberFormat="1" applyFont="1" applyFill="1" applyBorder="1" applyAlignment="1">
      <x:alignment wrapText="1"/>
    </x:xf>
    <x:xf numFmtId="0" fontId="8" fillId="8" borderId="17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18" xfId="0" applyNumberFormat="1" applyFont="1" applyFill="1" applyBorder="1"/>
    <x:xf numFmtId="0" fontId="9" fillId="7" borderId="19" xfId="0" applyNumberFormat="1" applyFont="1" applyFill="1" applyBorder="1"/>
    <x:xf numFmtId="0" fontId="9" fillId="7" borderId="20" xfId="0" applyNumberFormat="1" applyFont="1" applyFill="1" applyBorder="1"/>
    <x:xf numFmtId="0" fontId="1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10" fillId="0" borderId="13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horizontal="center"/>
    </x:xf>
    <x:xf numFmtId="0" fontId="1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horizontal="center"/>
    </x:xf>
    <x:xf numFmtId="0" fontId="10" fillId="0" borderId="8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5" fontId="0" fillId="0" borderId="0" xfId="0" applyNumberFormat="1" applyFont="1" applyFill="1" applyBorder="1"/>
    <x:xf numFmtId="201" fontId="4" fillId="0" borderId="0" xfId="0" applyNumberFormat="1" applyFont="1" applyFill="1" applyBorder="1"/>
    <x:xf numFmtId="205" fontId="4" fillId="0" borderId="0" xfId="0" applyNumberFormat="1" applyFont="1" applyFill="1" applyBorder="1"/>
    <x:xf numFmtId="202" fontId="4" fillId="0" borderId="0" xfId="0" applyNumberFormat="1" applyFont="1" applyFill="1" applyBorder="1"/>
    <x:xf numFmtId="201" fontId="4" fillId="0" borderId="4" xfId="0" applyNumberFormat="1" applyFont="1" applyFill="1" applyBorder="1"/>
    <x:xf numFmtId="205" fontId="4" fillId="0" borderId="4" xfId="0" applyNumberFormat="1" applyFont="1" applyFill="1" applyBorder="1"/>
    <x:xf numFmtId="202" fontId="4" fillId="0" borderId="4" xfId="0" applyNumberFormat="1" applyFont="1" applyFill="1" applyBorder="1"/>
    <x:xf numFmtId="201" fontId="4" fillId="0" borderId="5" xfId="0" applyNumberFormat="1" applyFont="1" applyFill="1" applyBorder="1"/>
    <x:xf numFmtId="205" fontId="4" fillId="0" borderId="5" xfId="0" applyNumberFormat="1" applyFont="1" applyFill="1" applyBorder="1"/>
    <x:xf numFmtId="202" fontId="4" fillId="0" borderId="5" xfId="0" applyNumberFormat="1" applyFont="1" applyFill="1" applyBorder="1"/>
    <x:xf numFmtId="201" fontId="4" fillId="0" borderId="6" xfId="0" applyNumberFormat="1" applyFont="1" applyFill="1" applyBorder="1"/>
    <x:xf numFmtId="205" fontId="4" fillId="0" borderId="6" xfId="0" applyNumberFormat="1" applyFont="1" applyFill="1" applyBorder="1"/>
    <x:xf numFmtId="202" fontId="4" fillId="0" borderId="6" xfId="0" applyNumberFormat="1" applyFont="1" applyFill="1" applyBorder="1"/>
    <x:xf numFmtId="206" fontId="0" fillId="0" borderId="0" xfId="0" applyNumberFormat="1" applyFont="1" applyFill="1" applyBorder="1"/>
    <x:xf numFmtId="206" fontId="4" fillId="0" borderId="0" xfId="0" applyNumberFormat="1" applyFont="1" applyFill="1" applyBorder="1"/>
    <x:xf numFmtId="0" fontId="4" fillId="0" borderId="13" xfId="0" applyNumberFormat="1" applyFont="1" applyFill="1" applyBorder="1"/>
    <x:xf numFmtId="206" fontId="4" fillId="0" borderId="13" xfId="0" applyNumberFormat="1" applyFont="1" applyFill="1" applyBorder="1"/>
    <x:xf numFmtId="0" fontId="4" fillId="0" borderId="19" xfId="0" applyNumberFormat="1" applyFont="1" applyFill="1" applyBorder="1"/>
    <x:xf numFmtId="206" fontId="4" fillId="0" borderId="19" xfId="0" applyNumberFormat="1" applyFont="1" applyFill="1" applyBorder="1"/>
    <x:xf numFmtId="0" fontId="4" fillId="0" borderId="8" xfId="0" applyNumberFormat="1" applyFont="1" applyFill="1" applyBorder="1"/>
    <x:xf numFmtId="206" fontId="4" fillId="0" borderId="8" xfId="0" applyNumberFormat="1" applyFont="1" applyFill="1" applyBorder="1"/>
    <x:xf numFmtId="0" fontId="4" fillId="0" borderId="13" xfId="0" applyNumberFormat="1" applyFont="1" applyFill="1" applyBorder="1" applyAlignment="1">
      <x:alignment vertical="top"/>
    </x:xf>
    <x:xf numFmtId="206" fontId="4" fillId="0" borderId="13" xfId="0" applyNumberFormat="1" applyFont="1" applyFill="1" applyBorder="1" applyAlignment="1">
      <x:alignment vertical="top"/>
    </x:xf>
    <x:xf numFmtId="0" fontId="4" fillId="0" borderId="19" xfId="0" applyNumberFormat="1" applyFont="1" applyFill="1" applyBorder="1" applyAlignment="1">
      <x:alignment vertical="top"/>
    </x:xf>
    <x:xf numFmtId="206" fontId="4" fillId="0" borderId="19" xfId="0" applyNumberFormat="1" applyFont="1" applyFill="1" applyBorder="1" applyAlignment="1">
      <x:alignment vertical="top"/>
    </x:xf>
    <x:xf numFmtId="0" fontId="4" fillId="0" borderId="8" xfId="0" applyNumberFormat="1" applyFont="1" applyFill="1" applyBorder="1" applyAlignment="1">
      <x:alignment vertical="top"/>
    </x:xf>
    <x:xf numFmtId="206" fontId="4" fillId="0" borderId="8" xfId="0" applyNumberFormat="1" applyFont="1" applyFill="1" applyBorder="1" applyAlignment="1">
      <x:alignment vertical="top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6" fillId="0" borderId="0" xfId="0" applyNumberFormat="1" applyFont="1" applyFill="1" applyBorder="1"/>
    <x:xf numFmtId="0" fontId="4" fillId="0" borderId="13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10" fillId="0" borderId="13" xfId="0" applyNumberFormat="1" applyFont="1" applyFill="1" applyBorder="1" applyAlignment="1">
      <x:alignment vertical="top" wrapText="1"/>
    </x:xf>
    <x:xf numFmtId="0" fontId="10" fillId="0" borderId="19" xfId="0" applyNumberFormat="1" applyFont="1" applyFill="1" applyBorder="1" applyAlignment="1">
      <x:alignment vertical="top" wrapText="1"/>
    </x:xf>
    <x:xf numFmtId="0" fontId="10" fillId="0" borderId="8" xfId="0" applyNumberFormat="1" applyFont="1" applyFill="1" applyBorder="1" applyAlignment="1">
      <x:alignment vertical="top" wrapText="1"/>
    </x:xf>
    <x:xf numFmtId="0" fontId="11" fillId="8" borderId="0" xfId="0" applyNumberFormat="1" applyFont="1" applyFill="1" applyBorder="1"/>
    <x:xf numFmtId="0" fontId="11" fillId="8" borderId="21" xfId="0" applyNumberFormat="1" applyFont="1" applyFill="1" applyBorder="1"/>
    <x:xf numFmtId="0" fontId="11" fillId="8" borderId="22" xfId="0" applyNumberFormat="1" applyFont="1" applyFill="1" applyBorder="1"/>
    <x:xf numFmtId="0" fontId="11" fillId="8" borderId="23" xfId="0" applyNumberFormat="1" applyFont="1" applyFill="1" applyBorder="1"/>
    <x:xf numFmtId="0" fontId="11" fillId="8" borderId="24" xfId="0" applyNumberFormat="1" applyFont="1" applyFill="1" applyBorder="1"/>
    <x:xf numFmtId="0" fontId="11" fillId="8" borderId="25" xfId="0" applyNumberFormat="1" applyFont="1" applyFill="1" applyBorder="1"/>
    <x:xf numFmtId="0" fontId="11" fillId="8" borderId="26" xfId="0" applyNumberFormat="1" applyFont="1" applyFill="1" applyBorder="1"/>
    <x:xf numFmtId="0" fontId="11" fillId="8" borderId="21" xfId="0" applyNumberFormat="1" applyFont="1" applyFill="1" applyBorder="1" applyAlignment="1">
      <x:alignment wrapText="1"/>
    </x:xf>
    <x:xf numFmtId="0" fontId="11" fillId="8" borderId="22" xfId="0" applyNumberFormat="1" applyFont="1" applyFill="1" applyBorder="1" applyAlignment="1">
      <x:alignment wrapText="1"/>
    </x:xf>
    <x:xf numFmtId="0" fontId="11" fillId="8" borderId="23" xfId="0" applyNumberFormat="1" applyFont="1" applyFill="1" applyBorder="1" applyAlignment="1">
      <x:alignment wrapText="1"/>
    </x:xf>
    <x:xf numFmtId="0" fontId="11" fillId="8" borderId="24" xfId="0" applyNumberFormat="1" applyFont="1" applyFill="1" applyBorder="1" applyAlignment="1">
      <x:alignment wrapText="1"/>
    </x:xf>
    <x:xf numFmtId="0" fontId="11" fillId="8" borderId="25" xfId="0" applyNumberFormat="1" applyFont="1" applyFill="1" applyBorder="1" applyAlignment="1">
      <x:alignment wrapText="1"/>
    </x:xf>
    <x:xf numFmtId="0" fontId="11" fillId="8" borderId="26" xfId="0" applyNumberFormat="1" applyFont="1" applyFill="1" applyBorder="1" applyAlignment="1">
      <x:alignment wrapText="1"/>
    </x:xf>
    <x:xf numFmtId="0" fontId="11" fillId="8" borderId="21" xfId="0" applyNumberFormat="1" applyFont="1" applyFill="1" applyBorder="1" applyAlignment="1">
      <x:alignment vertical="center" wrapText="1"/>
    </x:xf>
    <x:xf numFmtId="0" fontId="11" fillId="8" borderId="22" xfId="0" applyNumberFormat="1" applyFont="1" applyFill="1" applyBorder="1" applyAlignment="1">
      <x:alignment vertical="center" wrapText="1"/>
    </x:xf>
    <x:xf numFmtId="0" fontId="11" fillId="8" borderId="23" xfId="0" applyNumberFormat="1" applyFont="1" applyFill="1" applyBorder="1" applyAlignment="1">
      <x:alignment vertical="center" wrapText="1"/>
    </x:xf>
    <x:xf numFmtId="0" fontId="11" fillId="8" borderId="24" xfId="0" applyNumberFormat="1" applyFont="1" applyFill="1" applyBorder="1" applyAlignment="1">
      <x:alignment vertical="center" wrapText="1"/>
    </x:xf>
    <x:xf numFmtId="0" fontId="11" fillId="8" borderId="25" xfId="0" applyNumberFormat="1" applyFont="1" applyFill="1" applyBorder="1" applyAlignment="1">
      <x:alignment vertical="center" wrapText="1"/>
    </x:xf>
    <x:xf numFmtId="0" fontId="11" fillId="8" borderId="26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/>
    <x:xf numFmtId="0" fontId="12" fillId="7" borderId="27" xfId="0" applyNumberFormat="1" applyFont="1" applyFill="1" applyBorder="1"/>
    <x:xf numFmtId="0" fontId="12" fillId="7" borderId="28" xfId="0" applyNumberFormat="1" applyFont="1" applyFill="1" applyBorder="1"/>
    <x:xf numFmtId="0" fontId="13" fillId="6" borderId="0" xfId="0" applyNumberFormat="1" applyFont="1" applyFill="1" applyBorder="1"/>
    <x:xf numFmtId="0" fontId="13" fillId="6" borderId="27" xfId="0" applyNumberFormat="1" applyFont="1" applyFill="1" applyBorder="1"/>
    <x:xf numFmtId="0" fontId="13" fillId="6" borderId="28" xfId="0" applyNumberFormat="1" applyFont="1" applyFill="1" applyBorder="1"/>
    <x:xf numFmtId="0" fontId="14" fillId="2" borderId="0" xfId="0" applyNumberFormat="1" applyFont="1" applyFill="1" applyBorder="1" applyAlignment="1">
      <x:alignment vertical="center"/>
    </x:xf>
    <x:xf numFmtId="0" fontId="15" fillId="3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/>
    <x:xf numFmtId="0" fontId="17" fillId="6" borderId="7" xfId="0" applyNumberFormat="1" applyFont="1" applyFill="1" applyBorder="1" applyAlignment="1">
      <x:alignment vertical="center"/>
    </x:xf>
    <x:xf numFmtId="0" fontId="17" fillId="6" borderId="8" xfId="0" applyNumberFormat="1" applyFont="1" applyFill="1" applyBorder="1" applyAlignment="1">
      <x:alignment vertical="center"/>
    </x:xf>
    <x:xf numFmtId="0" fontId="17" fillId="6" borderId="9" xfId="0" applyNumberFormat="1" applyFont="1" applyFill="1" applyBorder="1" applyAlignment="1">
      <x:alignment vertical="center"/>
    </x:xf>
    <x:xf numFmtId="204" fontId="18" fillId="6" borderId="10" xfId="0" applyNumberFormat="1" applyFont="1" applyFill="1" applyBorder="1" applyAlignment="1">
      <x:alignment vertical="center"/>
    </x:xf>
    <x:xf numFmtId="204" fontId="18" fillId="6" borderId="0" xfId="0" applyNumberFormat="1" applyFont="1" applyFill="1" applyBorder="1" applyAlignment="1">
      <x:alignment vertical="center"/>
    </x:xf>
    <x:xf numFmtId="204" fontId="18" fillId="6" borderId="11" xfId="0" applyNumberFormat="1" applyFont="1" applyFill="1" applyBorder="1" applyAlignment="1">
      <x:alignment vertical="center"/>
    </x:xf>
    <x:xf numFmtId="201" fontId="18" fillId="6" borderId="10" xfId="0" applyNumberFormat="1" applyFont="1" applyFill="1" applyBorder="1" applyAlignment="1">
      <x:alignment vertical="center"/>
    </x:xf>
    <x:xf numFmtId="201" fontId="18" fillId="6" borderId="0" xfId="0" applyNumberFormat="1" applyFont="1" applyFill="1" applyBorder="1" applyAlignment="1">
      <x:alignment vertical="center"/>
    </x:xf>
    <x:xf numFmtId="201" fontId="18" fillId="6" borderId="11" xfId="0" applyNumberFormat="1" applyFont="1" applyFill="1" applyBorder="1" applyAlignment="1">
      <x:alignment vertical="center"/>
    </x:xf>
    <x:xf numFmtId="202" fontId="18" fillId="6" borderId="10" xfId="0" applyNumberFormat="1" applyFont="1" applyFill="1" applyBorder="1" applyAlignment="1">
      <x:alignment vertical="center"/>
    </x:xf>
    <x:xf numFmtId="202" fontId="18" fillId="6" borderId="0" xfId="0" applyNumberFormat="1" applyFont="1" applyFill="1" applyBorder="1" applyAlignment="1">
      <x:alignment vertical="center"/>
    </x:xf>
    <x:xf numFmtId="202" fontId="18" fillId="6" borderId="11" xfId="0" applyNumberFormat="1" applyFont="1" applyFill="1" applyBorder="1" applyAlignment="1">
      <x:alignment vertical="center"/>
    </x:xf>
    <x:xf numFmtId="203" fontId="18" fillId="6" borderId="10" xfId="0" applyNumberFormat="1" applyFont="1" applyFill="1" applyBorder="1" applyAlignment="1">
      <x:alignment vertical="center"/>
    </x:xf>
    <x:xf numFmtId="203" fontId="18" fillId="6" borderId="0" xfId="0" applyNumberFormat="1" applyFont="1" applyFill="1" applyBorder="1" applyAlignment="1">
      <x:alignment vertical="center"/>
    </x:xf>
    <x:xf numFmtId="203" fontId="18" fillId="6" borderId="11" xfId="0" applyNumberFormat="1" applyFont="1" applyFill="1" applyBorder="1" applyAlignment="1">
      <x:alignment vertical="center"/>
    </x:xf>
    <x:xf numFmtId="204" fontId="18" fillId="6" borderId="12" xfId="0" applyNumberFormat="1" applyFont="1" applyFill="1" applyBorder="1" applyAlignment="1">
      <x:alignment vertical="center"/>
    </x:xf>
    <x:xf numFmtId="204" fontId="18" fillId="6" borderId="13" xfId="0" applyNumberFormat="1" applyFont="1" applyFill="1" applyBorder="1" applyAlignment="1">
      <x:alignment vertical="center"/>
    </x:xf>
    <x:xf numFmtId="204" fontId="18" fillId="6" borderId="14" xfId="0" applyNumberFormat="1" applyFont="1" applyFill="1" applyBorder="1" applyAlignment="1">
      <x:alignment vertical="center"/>
    </x:xf>
    <x:xf numFmtId="201" fontId="18" fillId="6" borderId="12" xfId="0" applyNumberFormat="1" applyFont="1" applyFill="1" applyBorder="1" applyAlignment="1">
      <x:alignment vertical="center"/>
    </x:xf>
    <x:xf numFmtId="201" fontId="18" fillId="6" borderId="13" xfId="0" applyNumberFormat="1" applyFont="1" applyFill="1" applyBorder="1" applyAlignment="1">
      <x:alignment vertical="center"/>
    </x:xf>
    <x:xf numFmtId="201" fontId="18" fillId="6" borderId="14" xfId="0" applyNumberFormat="1" applyFont="1" applyFill="1" applyBorder="1" applyAlignment="1">
      <x:alignment vertical="center"/>
    </x:xf>
    <x:xf numFmtId="202" fontId="18" fillId="6" borderId="12" xfId="0" applyNumberFormat="1" applyFont="1" applyFill="1" applyBorder="1" applyAlignment="1">
      <x:alignment vertical="center"/>
    </x:xf>
    <x:xf numFmtId="202" fontId="18" fillId="6" borderId="13" xfId="0" applyNumberFormat="1" applyFont="1" applyFill="1" applyBorder="1" applyAlignment="1">
      <x:alignment vertical="center"/>
    </x:xf>
    <x:xf numFmtId="202" fontId="18" fillId="6" borderId="14" xfId="0" applyNumberFormat="1" applyFont="1" applyFill="1" applyBorder="1" applyAlignment="1">
      <x:alignment vertical="center"/>
    </x:xf>
    <x:xf numFmtId="203" fontId="18" fillId="6" borderId="12" xfId="0" applyNumberFormat="1" applyFont="1" applyFill="1" applyBorder="1" applyAlignment="1">
      <x:alignment vertical="center"/>
    </x:xf>
    <x:xf numFmtId="203" fontId="18" fillId="6" borderId="13" xfId="0" applyNumberFormat="1" applyFont="1" applyFill="1" applyBorder="1" applyAlignment="1">
      <x:alignment vertical="center"/>
    </x:xf>
    <x:xf numFmtId="203" fontId="18" fillId="6" borderId="14" xfId="0" applyNumberFormat="1" applyFont="1" applyFill="1" applyBorder="1" applyAlignment="1">
      <x:alignment vertical="center"/>
    </x:xf>
    <x:xf numFmtId="0" fontId="17" fillId="7" borderId="7" xfId="0" applyNumberFormat="1" applyFont="1" applyFill="1" applyBorder="1" applyAlignment="1">
      <x:alignment vertical="center"/>
    </x:xf>
    <x:xf numFmtId="0" fontId="17" fillId="7" borderId="8" xfId="0" applyNumberFormat="1" applyFont="1" applyFill="1" applyBorder="1" applyAlignment="1">
      <x:alignment vertical="center"/>
    </x:xf>
    <x:xf numFmtId="0" fontId="17" fillId="7" borderId="9" xfId="0" applyNumberFormat="1" applyFont="1" applyFill="1" applyBorder="1" applyAlignment="1">
      <x:alignment vertical="center"/>
    </x:xf>
    <x:xf numFmtId="201" fontId="18" fillId="7" borderId="10" xfId="0" applyNumberFormat="1" applyFont="1" applyFill="1" applyBorder="1" applyAlignment="1">
      <x:alignment vertical="center"/>
    </x:xf>
    <x:xf numFmtId="201" fontId="18" fillId="7" borderId="0" xfId="0" applyNumberFormat="1" applyFont="1" applyFill="1" applyBorder="1" applyAlignment="1">
      <x:alignment vertical="center"/>
    </x:xf>
    <x:xf numFmtId="201" fontId="18" fillId="7" borderId="11" xfId="0" applyNumberFormat="1" applyFont="1" applyFill="1" applyBorder="1" applyAlignment="1">
      <x:alignment vertical="center"/>
    </x:xf>
    <x:xf numFmtId="202" fontId="18" fillId="7" borderId="10" xfId="0" applyNumberFormat="1" applyFont="1" applyFill="1" applyBorder="1" applyAlignment="1">
      <x:alignment vertical="center"/>
    </x:xf>
    <x:xf numFmtId="202" fontId="18" fillId="7" borderId="0" xfId="0" applyNumberFormat="1" applyFont="1" applyFill="1" applyBorder="1" applyAlignment="1">
      <x:alignment vertical="center"/>
    </x:xf>
    <x:xf numFmtId="202" fontId="18" fillId="7" borderId="11" xfId="0" applyNumberFormat="1" applyFont="1" applyFill="1" applyBorder="1" applyAlignment="1">
      <x:alignment vertical="center"/>
    </x:xf>
    <x:xf numFmtId="201" fontId="18" fillId="7" borderId="12" xfId="0" applyNumberFormat="1" applyFont="1" applyFill="1" applyBorder="1" applyAlignment="1">
      <x:alignment vertical="center"/>
    </x:xf>
    <x:xf numFmtId="201" fontId="18" fillId="7" borderId="13" xfId="0" applyNumberFormat="1" applyFont="1" applyFill="1" applyBorder="1" applyAlignment="1">
      <x:alignment vertical="center"/>
    </x:xf>
    <x:xf numFmtId="201" fontId="18" fillId="7" borderId="14" xfId="0" applyNumberFormat="1" applyFont="1" applyFill="1" applyBorder="1" applyAlignment="1">
      <x:alignment vertical="center"/>
    </x:xf>
    <x:xf numFmtId="202" fontId="18" fillId="7" borderId="12" xfId="0" applyNumberFormat="1" applyFont="1" applyFill="1" applyBorder="1" applyAlignment="1">
      <x:alignment vertical="center"/>
    </x:xf>
    <x:xf numFmtId="202" fontId="18" fillId="7" borderId="13" xfId="0" applyNumberFormat="1" applyFont="1" applyFill="1" applyBorder="1" applyAlignment="1">
      <x:alignment vertical="center"/>
    </x:xf>
    <x:xf numFmtId="202" fontId="18" fillId="7" borderId="14" xfId="0" applyNumberFormat="1" applyFont="1" applyFill="1" applyBorder="1" applyAlignment="1">
      <x:alignment vertical="center"/>
    </x:xf>
    <x:xf numFmtId="0" fontId="19" fillId="8" borderId="15" xfId="0" applyNumberFormat="1" applyFont="1" applyFill="1" applyBorder="1" applyAlignment="1">
      <x:alignment wrapText="1"/>
    </x:xf>
    <x:xf numFmtId="0" fontId="19" fillId="8" borderId="16" xfId="0" applyNumberFormat="1" applyFont="1" applyFill="1" applyBorder="1" applyAlignment="1">
      <x:alignment wrapText="1"/>
    </x:xf>
    <x:xf numFmtId="0" fontId="19" fillId="8" borderId="17" xfId="0" applyNumberFormat="1" applyFont="1" applyFill="1" applyBorder="1" applyAlignment="1">
      <x:alignment wrapText="1"/>
    </x:xf>
    <x:xf numFmtId="0" fontId="20" fillId="4" borderId="1" xfId="0" applyNumberFormat="1" applyFont="1" applyFill="1" applyBorder="1" applyAlignment="1">
      <x:alignment vertical="center" wrapText="1"/>
    </x:xf>
    <x:xf numFmtId="0" fontId="20" fillId="4" borderId="2" xfId="0" applyNumberFormat="1" applyFont="1" applyFill="1" applyBorder="1" applyAlignment="1">
      <x:alignment vertical="center" wrapText="1"/>
    </x:xf>
    <x:xf numFmtId="0" fontId="20" fillId="4" borderId="3" xfId="0" applyNumberFormat="1" applyFont="1" applyFill="1" applyBorder="1" applyAlignment="1">
      <x:alignment vertical="center" wrapText="1"/>
    </x:xf>
    <x:xf numFmtId="204" fontId="16" fillId="0" borderId="0" xfId="0" applyNumberFormat="1" applyFont="1" applyFill="1" applyBorder="1"/>
    <x:xf numFmtId="202" fontId="16" fillId="0" borderId="0" xfId="0" applyNumberFormat="1" applyFont="1" applyFill="1" applyBorder="1"/>
    <x:xf numFmtId="0" fontId="21" fillId="7" borderId="18" xfId="0" applyNumberFormat="1" applyFont="1" applyFill="1" applyBorder="1"/>
    <x:xf numFmtId="0" fontId="21" fillId="7" borderId="19" xfId="0" applyNumberFormat="1" applyFont="1" applyFill="1" applyBorder="1"/>
    <x:xf numFmtId="0" fontId="21" fillId="7" borderId="20" xfId="0" applyNumberFormat="1" applyFont="1" applyFill="1" applyBorder="1"/>
    <x:xf numFmtId="0" fontId="22" fillId="0" borderId="13" xfId="0" applyNumberFormat="1" applyFont="1" applyFill="1" applyBorder="1"/>
    <x:xf numFmtId="0" fontId="16" fillId="0" borderId="13" xfId="0" applyNumberFormat="1" applyFont="1" applyFill="1" applyBorder="1" applyAlignment="1">
      <x:alignment wrapText="1"/>
    </x:xf>
    <x:xf numFmtId="0" fontId="16" fillId="0" borderId="13" xfId="0" applyNumberFormat="1" applyFont="1" applyFill="1" applyBorder="1" applyAlignment="1">
      <x:alignment horizontal="center"/>
    </x:xf>
    <x:xf numFmtId="0" fontId="22" fillId="0" borderId="19" xfId="0" applyNumberFormat="1" applyFont="1" applyFill="1" applyBorder="1"/>
    <x:xf numFmtId="0" fontId="16" fillId="0" borderId="19" xfId="0" applyNumberFormat="1" applyFont="1" applyFill="1" applyBorder="1" applyAlignment="1">
      <x:alignment wrapText="1"/>
    </x:xf>
    <x:xf numFmtId="0" fontId="16" fillId="0" borderId="19" xfId="0" applyNumberFormat="1" applyFont="1" applyFill="1" applyBorder="1" applyAlignment="1">
      <x:alignment horizontal="center"/>
    </x:xf>
    <x:xf numFmtId="0" fontId="22" fillId="0" borderId="8" xfId="0" applyNumberFormat="1" applyFont="1" applyFill="1" applyBorder="1"/>
    <x:xf numFmtId="0" fontId="16" fillId="0" borderId="8" xfId="0" applyNumberFormat="1" applyFont="1" applyFill="1" applyBorder="1" applyAlignment="1">
      <x:alignment wrapText="1"/>
    </x:xf>
    <x:xf numFmtId="0" fontId="16" fillId="0" borderId="8" xfId="0" applyNumberFormat="1" applyFont="1" applyFill="1" applyBorder="1" applyAlignment="1">
      <x:alignment horizontal="center"/>
    </x:xf>
    <x:xf numFmtId="200" fontId="23" fillId="0" borderId="4" xfId="0" applyNumberFormat="1" applyFont="1" applyFill="1" applyBorder="1"/>
    <x:xf numFmtId="201" fontId="23" fillId="3" borderId="4" xfId="0" applyNumberFormat="1" applyFont="1" applyFill="1" applyBorder="1"/>
    <x:xf numFmtId="201" fontId="23" fillId="5" borderId="4" xfId="0" applyNumberFormat="1" applyFont="1" applyFill="1" applyBorder="1"/>
    <x:xf numFmtId="0" fontId="23" fillId="3" borderId="4" xfId="0" applyNumberFormat="1" applyFont="1" applyFill="1" applyBorder="1" applyAlignment="1">
      <x:alignment horizontal="right"/>
    </x:xf>
    <x:xf numFmtId="202" fontId="23" fillId="5" borderId="4" xfId="0" applyNumberFormat="1" applyFont="1" applyFill="1" applyBorder="1" applyAlignment="1">
      <x:alignment horizontal="right"/>
    </x:xf>
    <x:xf numFmtId="201" fontId="23" fillId="3" borderId="4" xfId="0" applyNumberFormat="1" applyFont="1" applyFill="1" applyBorder="1" applyAlignment="1">
      <x:alignment horizontal="right"/>
    </x:xf>
    <x:xf numFmtId="201" fontId="23" fillId="5" borderId="4" xfId="0" applyNumberFormat="1" applyFont="1" applyFill="1" applyBorder="1" applyAlignment="1">
      <x:alignment horizontal="right"/>
    </x:xf>
    <x:xf numFmtId="202" fontId="23" fillId="5" borderId="4" xfId="0" applyNumberFormat="1" applyFont="1" applyFill="1" applyBorder="1"/>
    <x:xf numFmtId="203" fontId="23" fillId="5" borderId="4" xfId="0" applyNumberFormat="1" applyFont="1" applyFill="1" applyBorder="1"/>
    <x:xf numFmtId="200" fontId="23" fillId="0" borderId="5" xfId="0" applyNumberFormat="1" applyFont="1" applyFill="1" applyBorder="1"/>
    <x:xf numFmtId="201" fontId="23" fillId="3" borderId="5" xfId="0" applyNumberFormat="1" applyFont="1" applyFill="1" applyBorder="1"/>
    <x:xf numFmtId="201" fontId="23" fillId="5" borderId="5" xfId="0" applyNumberFormat="1" applyFont="1" applyFill="1" applyBorder="1"/>
    <x:xf numFmtId="0" fontId="23" fillId="3" borderId="5" xfId="0" applyNumberFormat="1" applyFont="1" applyFill="1" applyBorder="1" applyAlignment="1">
      <x:alignment horizontal="right"/>
    </x:xf>
    <x:xf numFmtId="202" fontId="23" fillId="5" borderId="5" xfId="0" applyNumberFormat="1" applyFont="1" applyFill="1" applyBorder="1" applyAlignment="1">
      <x:alignment horizontal="right"/>
    </x:xf>
    <x:xf numFmtId="201" fontId="23" fillId="3" borderId="5" xfId="0" applyNumberFormat="1" applyFont="1" applyFill="1" applyBorder="1" applyAlignment="1">
      <x:alignment horizontal="right"/>
    </x:xf>
    <x:xf numFmtId="201" fontId="23" fillId="5" borderId="5" xfId="0" applyNumberFormat="1" applyFont="1" applyFill="1" applyBorder="1" applyAlignment="1">
      <x:alignment horizontal="right"/>
    </x:xf>
    <x:xf numFmtId="202" fontId="23" fillId="5" borderId="5" xfId="0" applyNumberFormat="1" applyFont="1" applyFill="1" applyBorder="1"/>
    <x:xf numFmtId="203" fontId="23" fillId="5" borderId="5" xfId="0" applyNumberFormat="1" applyFont="1" applyFill="1" applyBorder="1"/>
    <x:xf numFmtId="200" fontId="23" fillId="0" borderId="6" xfId="0" applyNumberFormat="1" applyFont="1" applyFill="1" applyBorder="1"/>
    <x:xf numFmtId="201" fontId="23" fillId="3" borderId="6" xfId="0" applyNumberFormat="1" applyFont="1" applyFill="1" applyBorder="1"/>
    <x:xf numFmtId="201" fontId="23" fillId="5" borderId="6" xfId="0" applyNumberFormat="1" applyFont="1" applyFill="1" applyBorder="1"/>
    <x:xf numFmtId="0" fontId="23" fillId="3" borderId="6" xfId="0" applyNumberFormat="1" applyFont="1" applyFill="1" applyBorder="1" applyAlignment="1">
      <x:alignment horizontal="right"/>
    </x:xf>
    <x:xf numFmtId="202" fontId="23" fillId="5" borderId="6" xfId="0" applyNumberFormat="1" applyFont="1" applyFill="1" applyBorder="1" applyAlignment="1">
      <x:alignment horizontal="right"/>
    </x:xf>
    <x:xf numFmtId="201" fontId="23" fillId="3" borderId="6" xfId="0" applyNumberFormat="1" applyFont="1" applyFill="1" applyBorder="1" applyAlignment="1">
      <x:alignment horizontal="right"/>
    </x:xf>
    <x:xf numFmtId="201" fontId="23" fillId="5" borderId="6" xfId="0" applyNumberFormat="1" applyFont="1" applyFill="1" applyBorder="1" applyAlignment="1">
      <x:alignment horizontal="right"/>
    </x:xf>
    <x:xf numFmtId="202" fontId="23" fillId="5" borderId="6" xfId="0" applyNumberFormat="1" applyFont="1" applyFill="1" applyBorder="1"/>
    <x:xf numFmtId="203" fontId="23" fillId="5" borderId="6" xfId="0" applyNumberFormat="1" applyFont="1" applyFill="1" applyBorder="1"/>
    <x:xf numFmtId="0" fontId="23" fillId="0" borderId="4" xfId="0" applyNumberFormat="1" applyFont="1" applyFill="1" applyBorder="1"/>
    <x:xf numFmtId="201" fontId="23" fillId="0" borderId="4" xfId="0" applyNumberFormat="1" applyFont="1" applyFill="1" applyBorder="1"/>
    <x:xf numFmtId="205" fontId="23" fillId="0" borderId="4" xfId="0" applyNumberFormat="1" applyFont="1" applyFill="1" applyBorder="1"/>
    <x:xf numFmtId="202" fontId="23" fillId="0" borderId="4" xfId="0" applyNumberFormat="1" applyFont="1" applyFill="1" applyBorder="1"/>
    <x:xf numFmtId="0" fontId="23" fillId="0" borderId="5" xfId="0" applyNumberFormat="1" applyFont="1" applyFill="1" applyBorder="1"/>
    <x:xf numFmtId="201" fontId="23" fillId="0" borderId="5" xfId="0" applyNumberFormat="1" applyFont="1" applyFill="1" applyBorder="1"/>
    <x:xf numFmtId="205" fontId="23" fillId="0" borderId="5" xfId="0" applyNumberFormat="1" applyFont="1" applyFill="1" applyBorder="1"/>
    <x:xf numFmtId="202" fontId="23" fillId="0" borderId="5" xfId="0" applyNumberFormat="1" applyFont="1" applyFill="1" applyBorder="1"/>
    <x:xf numFmtId="0" fontId="23" fillId="0" borderId="6" xfId="0" applyNumberFormat="1" applyFont="1" applyFill="1" applyBorder="1"/>
    <x:xf numFmtId="201" fontId="23" fillId="0" borderId="6" xfId="0" applyNumberFormat="1" applyFont="1" applyFill="1" applyBorder="1"/>
    <x:xf numFmtId="205" fontId="23" fillId="0" borderId="6" xfId="0" applyNumberFormat="1" applyFont="1" applyFill="1" applyBorder="1"/>
    <x:xf numFmtId="202" fontId="23" fillId="0" borderId="6" xfId="0" applyNumberFormat="1" applyFont="1" applyFill="1" applyBorder="1"/>
    <x:xf numFmtId="0" fontId="23" fillId="0" borderId="13" xfId="0" applyNumberFormat="1" applyFont="1" applyFill="1" applyBorder="1" applyAlignment="1">
      <x:alignment vertical="top"/>
    </x:xf>
    <x:xf numFmtId="0" fontId="23" fillId="0" borderId="13" xfId="0" applyNumberFormat="1" applyFont="1" applyFill="1" applyBorder="1" applyAlignment="1">
      <x:alignment vertical="top" wrapText="1"/>
    </x:xf>
    <x:xf numFmtId="206" fontId="23" fillId="0" borderId="13" xfId="0" applyNumberFormat="1" applyFont="1" applyFill="1" applyBorder="1" applyAlignment="1">
      <x:alignment vertical="top"/>
    </x:xf>
    <x:xf numFmtId="0" fontId="23" fillId="0" borderId="19" xfId="0" applyNumberFormat="1" applyFont="1" applyFill="1" applyBorder="1" applyAlignment="1">
      <x:alignment vertical="top"/>
    </x:xf>
    <x:xf numFmtId="0" fontId="23" fillId="0" borderId="19" xfId="0" applyNumberFormat="1" applyFont="1" applyFill="1" applyBorder="1" applyAlignment="1">
      <x:alignment vertical="top" wrapText="1"/>
    </x:xf>
    <x:xf numFmtId="206" fontId="23" fillId="0" borderId="19" xfId="0" applyNumberFormat="1" applyFont="1" applyFill="1" applyBorder="1" applyAlignment="1">
      <x:alignment vertical="top"/>
    </x:xf>
    <x:xf numFmtId="0" fontId="23" fillId="0" borderId="8" xfId="0" applyNumberFormat="1" applyFont="1" applyFill="1" applyBorder="1" applyAlignment="1">
      <x:alignment vertical="top"/>
    </x:xf>
    <x:xf numFmtId="0" fontId="23" fillId="0" borderId="8" xfId="0" applyNumberFormat="1" applyFont="1" applyFill="1" applyBorder="1" applyAlignment="1">
      <x:alignment vertical="top" wrapText="1"/>
    </x:xf>
    <x:xf numFmtId="206" fontId="23" fillId="0" borderId="8" xfId="0" applyNumberFormat="1" applyFont="1" applyFill="1" applyBorder="1" applyAlignment="1">
      <x:alignment vertical="top"/>
    </x:xf>
    <x:xf numFmtId="200" fontId="16" fillId="0" borderId="0" xfId="0" applyNumberFormat="1" applyFont="1" applyFill="1" applyBorder="1"/>
    <x:xf numFmtId="0" fontId="17" fillId="0" borderId="0" xfId="0" applyNumberFormat="1" applyFont="1" applyFill="1" applyBorder="1"/>
    <x:xf numFmtId="0" fontId="22" fillId="0" borderId="13" xfId="0" applyNumberFormat="1" applyFont="1" applyFill="1" applyBorder="1" applyAlignment="1">
      <x:alignment vertical="top" wrapText="1"/>
    </x:xf>
    <x:xf numFmtId="0" fontId="22" fillId="0" borderId="19" xfId="0" applyNumberFormat="1" applyFont="1" applyFill="1" applyBorder="1" applyAlignment="1">
      <x:alignment vertical="top" wrapText="1"/>
    </x:xf>
    <x:xf numFmtId="0" fontId="22" fillId="0" borderId="8" xfId="0" applyNumberFormat="1" applyFont="1" applyFill="1" applyBorder="1" applyAlignment="1">
      <x:alignment vertical="top" wrapText="1"/>
    </x:xf>
    <x:xf numFmtId="0" fontId="24" fillId="8" borderId="21" xfId="0" applyNumberFormat="1" applyFont="1" applyFill="1" applyBorder="1" applyAlignment="1">
      <x:alignment vertical="center" wrapText="1"/>
    </x:xf>
    <x:xf numFmtId="0" fontId="24" fillId="8" borderId="22" xfId="0" applyNumberFormat="1" applyFont="1" applyFill="1" applyBorder="1" applyAlignment="1">
      <x:alignment vertical="center" wrapText="1"/>
    </x:xf>
    <x:xf numFmtId="0" fontId="24" fillId="8" borderId="23" xfId="0" applyNumberFormat="1" applyFont="1" applyFill="1" applyBorder="1" applyAlignment="1">
      <x:alignment vertical="center" wrapText="1"/>
    </x:xf>
    <x:xf numFmtId="0" fontId="24" fillId="8" borderId="24" xfId="0" applyNumberFormat="1" applyFont="1" applyFill="1" applyBorder="1" applyAlignment="1">
      <x:alignment vertical="center" wrapText="1"/>
    </x:xf>
    <x:xf numFmtId="0" fontId="24" fillId="8" borderId="25" xfId="0" applyNumberFormat="1" applyFont="1" applyFill="1" applyBorder="1" applyAlignment="1">
      <x:alignment vertical="center" wrapText="1"/>
    </x:xf>
    <x:xf numFmtId="0" fontId="24" fillId="8" borderId="26" xfId="0" applyNumberFormat="1" applyFont="1" applyFill="1" applyBorder="1" applyAlignment="1">
      <x:alignment vertical="center" wrapText="1"/>
    </x:xf>
    <x:xf numFmtId="0" fontId="25" fillId="7" borderId="27" xfId="0" applyNumberFormat="1" applyFont="1" applyFill="1" applyBorder="1"/>
    <x:xf numFmtId="0" fontId="26" fillId="6" borderId="27" xfId="0" applyNumberFormat="1" applyFont="1" applyFill="1" applyBorder="1"/>
    <x:xf numFmtId="0" fontId="25" fillId="7" borderId="28" xfId="0" applyNumberFormat="1" applyFont="1" applyFill="1" applyBorder="1"/>
    <x:xf numFmtId="0" fontId="26" fillId="6" borderId="28" xfId="0" applyNumberFormat="1" applyFont="1" applyFill="1" applyBorder="1"/>
  </x:cellXfs>
  <x:cellStyles count="1">
    <x:cellStyle name="Normal" xfId="0"/>
  </x:cellStyles>
  <x:dxfs count="12">
    <x:dxf>
      <x:font>
        <x:color rgb="FFB42318"/>
      </x:font>
      <x:fill>
        <x:patternFill patternType="solid">
          <x:bgColor rgb="FFFEE4E2"/>
        </x:patternFill>
      </x:fill>
    </x:dxf>
    <x:dxf>
      <x:font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A86103"/>
      </x:font>
      <x:fill>
        <x:patternFill patternType="solid">
          <x:bgColor rgb="FFFEF3C7"/>
        </x:patternFill>
      </x:fill>
    </x:dxf>
    <x:dxf>
      <x:font>
        <x:color rgb="FF167D4D"/>
      </x:font>
      <x:fill>
        <x:patternFill patternType="solid">
          <x:bgColor rgb="FFDCFCE7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A86103"/>
      </x:font>
      <x:fill>
        <x:patternFill patternType="solid">
          <x:bgColor rgb="FFFEF3C7"/>
        </x:patternFill>
      </x:fill>
    </x:dxf>
    <x:dxf>
      <x:font>
        <x:color rgb="FF167D4D"/>
      </x:font>
      <x:fill>
        <x:patternFill patternType="solid">
          <x:bgColor rgb="FFDCFCE7"/>
        </x:patternFill>
      </x:fill>
    </x:dxf>
    <x:dxf>
      <x:font>
        <x:b/>
        <x:color rgb="FF167D4D"/>
      </x:font>
      <x:fill>
        <x:patternFill patternType="solid">
          <x:bgColor rgb="FFDCFCE7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167D4D"/>
      </x:font>
      <x:fill>
        <x:patternFill patternType="solid">
          <x:bgColor rgb="FFDCFCE7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11e5680ee9485c" /><Relationship Type="http://schemas.openxmlformats.org/officeDocument/2006/relationships/theme" Target="/xl/theme/theme1.xml" Id="R19a81cd69d7a4ff9" /><Relationship Type="http://schemas.openxmlformats.org/officeDocument/2006/relationships/sharedStrings" Target="/xl/sharedStrings.xml" Id="R94a7e2357ea042c6" /><Relationship Type="http://schemas.openxmlformats.org/officeDocument/2006/relationships/worksheet" Target="/xl/worksheets/sheet1.xml" Id="R8c443bbafea4413d" /><Relationship Type="http://schemas.openxmlformats.org/officeDocument/2006/relationships/worksheet" Target="/xl/worksheets/sheet2.xml" Id="R5b689894865e4ef1" /><Relationship Type="http://schemas.openxmlformats.org/officeDocument/2006/relationships/worksheet" Target="/xl/worksheets/sheet3.xml" Id="R372e46d489a9492a" /><Relationship Type="http://schemas.openxmlformats.org/officeDocument/2006/relationships/worksheet" Target="/xl/worksheets/sheet4.xml" Id="R5dbfdcf82b894c8a" /><Relationship Type="http://schemas.openxmlformats.org/officeDocument/2006/relationships/worksheet" Target="/xl/worksheets/sheet5.xml" Id="R3cd9bda42cb54022" /><Relationship Type="http://schemas.openxmlformats.org/officeDocument/2006/relationships/worksheet" Target="/xl/worksheets/sheet6.xml" Id="R9eff287ac05648ae" /><Relationship Type="http://schemas.openxmlformats.org/officeDocument/2006/relationships/worksheet" Target="/xl/worksheets/sheet7.xml" Id="R45ccdda5b55a43f0" /><Relationship Type="http://schemas.openxmlformats.org/officeDocument/2006/relationships/worksheet" Target="/xl/worksheets/sheet8.xml" Id="Rbf953e396f354841" /><Relationship Type="http://schemas.microsoft.com/office/2017/10/relationships/person" Target="/xl/persons/person.xml" Id="R7048284c447a4f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c91d632f7b94a47" /><Relationship Type="http://schemas.openxmlformats.org/officeDocument/2006/relationships/chart" Target="/xl/drawings/charts/chart2.xml" Id="Re9e5c4c7d56a45b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e7d118df72cd403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growth outpaced target after March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Net Revenue</c:v>
          </c:tx>
          <c:marker>
            <c:symbol val="none"/>
          </c:marker>
          <c:cat>
            <c:strRef>
              <c:f>'Summary'!$A$16:$A$21</c:f>
              <c:strCache>
                <c:ptCount val="0"/>
              </c:strCache>
            </c:strRef>
          </c:cat>
          <c:val>
            <c:numRef>
              <c:f>'Summary'!$B$16:$B$21</c:f>
              <c:numCache>
                <c:formatCode>€#,##0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Revenue Target</c:v>
          </c:tx>
          <c:marker>
            <c:symbol val="none"/>
          </c:marker>
          <c:cat>
            <c:strRef>
              <c:f>'Summary'!$A$16:$A$21</c:f>
              <c:strCache>
                <c:ptCount val="0"/>
              </c:strCache>
            </c:strRef>
          </c:cat>
          <c:val>
            <c:numRef>
              <c:f>'Summary'!$C$16:$C$21</c:f>
              <c:numCache>
                <c:formatCode>€#,##0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Margin compressed as returns increased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Margin Rate</c:v>
          </c:tx>
          <c:marker>
            <c:symbol val="none"/>
          </c:marker>
          <c:cat>
            <c:strRef>
              <c:f>'Summary'!$A$31:$A$36</c:f>
              <c:strCache>
                <c:ptCount val="0"/>
              </c:strCache>
            </c:strRef>
          </c:cat>
          <c:val>
            <c:numRef>
              <c:f>'Summary'!$B$31:$B$36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Return Rate</c:v>
          </c:tx>
          <c:marker>
            <c:symbol val="none"/>
          </c:marker>
          <c:cat>
            <c:strRef>
              <c:f>'Summary'!$A$31:$A$36</c:f>
              <c:strCache>
                <c:ptCount val="0"/>
              </c:strCache>
            </c:strRef>
          </c:cat>
          <c:val>
            <c:numRef>
              <c:f>'Summary'!$C$31:$C$36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Expected revenue path and 95% interval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Forecast</c:v>
          </c:tx>
          <c:marker>
            <c:symbol val="none"/>
          </c:marker>
          <c:cat>
            <c:strRef>
              <c:f>'Forecast'!$I$19:$I$21</c:f>
              <c:strCache>
                <c:ptCount val="0"/>
              </c:strCache>
            </c:strRef>
          </c:cat>
          <c:val>
            <c:numRef>
              <c:f>'Forecast'!$J$19:$J$21</c:f>
              <c:numCache>
                <c:formatCode>€#,##0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Lower 95%</c:v>
          </c:tx>
          <c:marker>
            <c:symbol val="none"/>
          </c:marker>
          <c:cat>
            <c:strRef>
              <c:f>'Forecast'!$I$19:$I$21</c:f>
              <c:strCache>
                <c:ptCount val="0"/>
              </c:strCache>
            </c:strRef>
          </c:cat>
          <c:val>
            <c:numRef>
              <c:f>'Forecast'!$K$19:$K$21</c:f>
              <c:numCache>
                <c:formatCode>€#,##0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Upper 95%</c:v>
          </c:tx>
          <c:marker>
            <c:symbol val="none"/>
          </c:marker>
          <c:cat>
            <c:strRef>
              <c:f>'Forecast'!$I$19:$I$21</c:f>
              <c:strCache>
                <c:ptCount val="0"/>
              </c:strCache>
            </c:strRef>
          </c:cat>
          <c:val>
            <c:numRef>
              <c:f>'Forecast'!$L$19:$L$21</c:f>
              <c:numCache>
                <c:formatCode>€#,##0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14</xdr:row>
      <xdr:rowOff>0</xdr:rowOff>
    </xdr:from>
    <xdr:to>
      <xdr:col>13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91d632f7b94a47"/>
        </a:graphicData>
      </a:graphic>
    </xdr:graphicFrame>
    <xdr:clientData/>
  </xdr:twoCellAnchor>
  <xdr:twoCellAnchor>
    <xdr:from>
      <xdr:col>4</xdr:col>
      <xdr:colOff>0</xdr:colOff>
      <xdr:row>29</xdr:row>
      <xdr:rowOff>0</xdr:rowOff>
    </xdr:from>
    <xdr:to>
      <xdr:col>13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e5c4c7d56a45b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d118df72cd4031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CommercePulse Analytics" id="{EB6D9F70-80A9-403C-9C8E-9C3B7B28CE19}"/>
</xltc:personList>
</file>

<file path=xl/tables/table1.xml><?xml version="1.0" encoding="utf-8"?>
<x:table xmlns:x="http://schemas.openxmlformats.org/spreadsheetml/2006/main" id="1" name="MonthlyKPITable" displayName="MonthlyKPITable" ref="A4:AB10" headerRowCount="1" totalsRowCount="0" totalsRowShown="0">
  <x:tableColumns count="28">
    <x:tableColumn id="1" name="Month"/>
    <x:tableColumn id="2" name="Gross Revenue"/>
    <x:tableColumn id="3" name="Discounts"/>
    <x:tableColumn id="4" name="Refunds"/>
    <x:tableColumn id="5" name="Net Revenue"/>
    <x:tableColumn id="6" name="COGS"/>
    <x:tableColumn id="7" name="Recovered COGS"/>
    <x:tableColumn id="8" name="Return Handling"/>
    <x:tableColumn id="9" name="Fulfillment"/>
    <x:tableColumn id="10" name="Marketing Spend"/>
    <x:tableColumn id="11" name="Contribution Margin"/>
    <x:tableColumn id="12" name="Sessions"/>
    <x:tableColumn id="13" name="Converted Sessions"/>
    <x:tableColumn id="14" name="Conversion Rate"/>
    <x:tableColumn id="15" name="Units Sold"/>
    <x:tableColumn id="16" name="Units Returned"/>
    <x:tableColumn id="17" name="Return Rate"/>
    <x:tableColumn id="18" name="Fulfilled Orders"/>
    <x:tableColumn id="19" name="On-Time Orders"/>
    <x:tableColumn id="20" name="On-Time Rate"/>
    <x:tableColumn id="21" name="Revenue Target"/>
    <x:tableColumn id="22" name="Revenue Variance"/>
    <x:tableColumn id="23" name="Contribution Target"/>
    <x:tableColumn id="24" name="Contribution Variance"/>
    <x:tableColumn id="25" name="Orders"/>
    <x:tableColumn id="26" name="AOV"/>
    <x:tableColumn id="27" name="Margin Rate"/>
    <x:tableColumn id="28" name="Marketing RO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ceptionTable" displayName="ExceptionTable" ref="A4:H25" headerRowCount="1" totalsRowCount="0" totalsRowShown="0">
  <x:tableColumns count="8">
    <x:tableColumn id="1" name="Dimension"/>
    <x:tableColumn id="2" name="Value"/>
    <x:tableColumn id="3" name="Revenue Change"/>
    <x:tableColumn id="4" name="Contribution Change"/>
    <x:tableColumn id="5" name="Margin Rate Δ (pp)"/>
    <x:tableColumn id="6" name="Current Return Rate"/>
    <x:tableColumn id="7" name="Severity"/>
    <x:tableColumn id="8" name="Decision C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ionRegisterTable" displayName="ActionRegisterTable" ref="A4:J8" headerRowCount="1" totalsRowCount="0" totalsRowShown="0">
  <x:tableColumns count="10">
    <x:tableColumn id="1" name="Action ID"/>
    <x:tableColumn id="2" name="Priority"/>
    <x:tableColumn id="3" name="Owner"/>
    <x:tableColumn id="4" name="Action"/>
    <x:tableColumn id="5" name="Evidence"/>
    <x:tableColumn id="6" name="Expected Impact"/>
    <x:tableColumn id="7" name="Guardrail"/>
    <x:tableColumn id="8" name="Review Cadence"/>
    <x:tableColumn id="9" name="Status"/>
    <x:tableColumn id="10" name="Progres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PIDefinitionTable" displayName="KPIDefinitionTable" ref="A4:G16" headerRowCount="1" totalsRowCount="0" totalsRowShown="0">
  <x:tableColumns count="7">
    <x:tableColumn id="1" name="KPI"/>
    <x:tableColumn id="2" name="Business Definition"/>
    <x:tableColumn id="3" name="Formula"/>
    <x:tableColumn id="4" name="Grain"/>
    <x:tableColumn id="5" name="Owner"/>
    <x:tableColumn id="6" name="Direction"/>
    <x:tableColumn id="7" name="Management Threshol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alidationCheckTable" displayName="ValidationCheckTable" ref="A8:G40" headerRowCount="1" totalsRowCount="0" totalsRowShown="0">
  <x:tableColumns count="7">
    <x:tableColumn id="1" name="Source"/>
    <x:tableColumn id="2" name="Check"/>
    <x:tableColumn id="3" name="Table / Scope"/>
    <x:tableColumn id="4" name="Observed"/>
    <x:tableColumn id="5" name="Expected"/>
    <x:tableColumn id="6" name="Source Status"/>
    <x:tableColumn id="7" name="Workbook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F6" dT="2026-08-13T19:32:35.513" personId="{EB6D9F70-80A9-403C-9C8E-9C3B7B28CE19}" id="{20E1EFBF-0D17-67F7-929A-763349E2A25A}">
    <xltc:text>Primary source: https://www.ecb.europa.eu/stats/policy_and_exchange_rates/euro_reference_exchange_rates/html/index.en.html
Cached to preserve reproducibility and avoid live-network dependence.</xltc:text>
  </xltc:threadedComment>
  <xltc:threadedComment ref="D5" dT="2026-08-13T19:32:35.513" personId="{EB6D9F70-80A9-403C-9C8E-9C3B7B28CE19}" id="{4A0167E7-06AF-A8AF-F3F0-A395CFF47E36}">
    <xltc:text>Generator seed 20260813; manifest SHA-256 hashes record every generated table.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734bebd3d9b42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de749d211446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5110328a134d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3b0348233944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b2bdfd4fa7544f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876d3d735e147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1.xml" Id="R8020069814c04341" /><Relationship Type="http://schemas.openxmlformats.org/officeDocument/2006/relationships/vmlDrawing" Target="/xl/drawings/vmldrawing.vml" Id="Rce17cf53da464843" /><Relationship Type="http://schemas.microsoft.com/office/2017/10/relationships/threadedComment" Target="/xl/threadedcomments/threadedcomment.xml" Id="R88f66c2281e54b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6e9ee49734de4b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1" hidden="0" customWidth="1"/>
    <x:col min="3" max="3" width="17" hidden="0" customWidth="1"/>
    <x:col min="4" max="4" width="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" hidden="0" customWidth="1"/>
  </x:cols>
  <x:sheetData>
    <x:row r="1" ht="25" customHeight="1">
      <x:c r="A1" s="238" t="str">
        <x:v>CommercePulse Europe — Manager Pack</x:v>
      </x:c>
      <x:c r="B1" s="238"/>
      <x:c r="C1" s="238"/>
      <x:c r="D1" s="238"/>
      <x:c r="E1" s="238"/>
      <x:c r="F1" s="238"/>
      <x:c r="G1" s="238"/>
      <x:c r="H1" s="238"/>
      <x:c r="I1" s="238"/>
      <x:c r="J1" s="238"/>
      <x:c r="K1" s="238"/>
      <x:c r="L1" s="238"/>
      <x:c r="M1" s="238"/>
    </x:row>
    <x:row r="2" ht="25" customHeight="1">
      <x:c r="A2" s="238"/>
      <x:c r="B2" s="238"/>
      <x:c r="C2" s="238"/>
      <x:c r="D2" s="238"/>
      <x:c r="E2" s="238"/>
      <x:c r="F2" s="238"/>
      <x:c r="G2" s="238"/>
      <x:c r="H2" s="238"/>
      <x:c r="I2" s="238"/>
      <x:c r="J2" s="238"/>
      <x:c r="K2" s="238"/>
      <x:c r="L2" s="238"/>
      <x:c r="M2" s="238"/>
    </x:row>
    <x:row r="3" ht="25" customHeight="1">
      <x:c r="A3" s="239" t="str">
        <x:v>Decision snapshot | 2025-01-01 to 2025-06-30 | deterministic synthetic operations + real ECB FX</x:v>
      </x:c>
      <x:c r="B3" s="239"/>
      <x:c r="C3" s="239"/>
      <x:c r="D3" s="239"/>
      <x:c r="E3" s="239"/>
      <x:c r="F3" s="239"/>
      <x:c r="G3" s="239"/>
      <x:c r="H3" s="239"/>
      <x:c r="I3" s="239"/>
      <x:c r="J3" s="239"/>
      <x:c r="K3" s="239"/>
      <x:c r="L3" s="239"/>
      <x:c r="M3" s="239"/>
    </x:row>
    <x:row r="4">
      <x:c r="A4" s="240"/>
      <x:c r="B4" s="240"/>
      <x:c r="C4" s="240"/>
      <x:c r="D4" s="240"/>
      <x:c r="E4" s="240"/>
      <x:c r="F4" s="240"/>
      <x:c r="G4" s="240"/>
      <x:c r="H4" s="240"/>
      <x:c r="I4" s="240"/>
      <x:c r="J4" s="240"/>
      <x:c r="K4" s="240"/>
      <x:c r="L4" s="240"/>
      <x:c r="M4" s="240"/>
    </x:row>
    <x:row r="5">
      <x:c r="A5" s="241" t="str">
        <x:v>NET REVENUE</x:v>
      </x:c>
      <x:c r="B5" s="242"/>
      <x:c r="C5" s="243"/>
      <x:c r="D5" s="241" t="str">
        <x:v>CONTRIBUTION MARGIN</x:v>
      </x:c>
      <x:c r="E5" s="242"/>
      <x:c r="F5" s="243"/>
      <x:c r="G5" s="241" t="str">
        <x:v>CONTRIBUTION MARGIN RATE</x:v>
      </x:c>
      <x:c r="H5" s="242"/>
      <x:c r="I5" s="243"/>
      <x:c r="J5" s="241" t="str">
        <x:v>MARKETING ROAS</x:v>
      </x:c>
      <x:c r="K5" s="242"/>
      <x:c r="L5" s="243"/>
      <x:c r="M5" s="240"/>
    </x:row>
    <x:row r="6">
      <x:c r="A6" s="244" t="n">
        <x:f>SUM('Monthly KPI'!E5:E10)</x:f>
        <x:v>1099158.2427503301</x:v>
      </x:c>
      <x:c r="B6" s="245"/>
      <x:c r="C6" s="246"/>
      <x:c r="D6" s="247" t="n">
        <x:f>SUM('Monthly KPI'!K5:K10)</x:f>
        <x:v>131599.00773581394</x:v>
      </x:c>
      <x:c r="E6" s="248"/>
      <x:c r="F6" s="249"/>
      <x:c r="G6" s="250" t="n">
        <x:f>IF(A6=0,0,D6/A6)</x:f>
        <x:v>0.11972708079459508</x:v>
      </x:c>
      <x:c r="H6" s="251"/>
      <x:c r="I6" s="252"/>
      <x:c r="J6" s="253" t="n">
        <x:f>IF(SUM('Monthly KPI'!J5:J10)=0,0,A6/SUM('Monthly KPI'!J5:J10))</x:f>
        <x:v>6.277533821161144</x:v>
      </x:c>
      <x:c r="K6" s="254"/>
      <x:c r="L6" s="255"/>
      <x:c r="M6" s="240"/>
    </x:row>
    <x:row r="7">
      <x:c r="A7" s="256"/>
      <x:c r="B7" s="257"/>
      <x:c r="C7" s="258"/>
      <x:c r="D7" s="259"/>
      <x:c r="E7" s="260"/>
      <x:c r="F7" s="261"/>
      <x:c r="G7" s="262"/>
      <x:c r="H7" s="263"/>
      <x:c r="I7" s="264"/>
      <x:c r="J7" s="265"/>
      <x:c r="K7" s="266"/>
      <x:c r="L7" s="267"/>
      <x:c r="M7" s="240"/>
    </x:row>
    <x:row r="8">
      <x:c r="A8" s="240"/>
      <x:c r="B8" s="240"/>
      <x:c r="C8" s="240"/>
      <x:c r="D8" s="240"/>
      <x:c r="E8" s="240"/>
      <x:c r="F8" s="240"/>
      <x:c r="G8" s="240"/>
      <x:c r="H8" s="240"/>
      <x:c r="I8" s="240"/>
      <x:c r="J8" s="240"/>
      <x:c r="K8" s="240"/>
      <x:c r="L8" s="240"/>
      <x:c r="M8" s="240"/>
    </x:row>
    <x:row r="9">
      <x:c r="A9" s="268" t="str">
        <x:v>LATEST REVENUE VS TARGET</x:v>
      </x:c>
      <x:c r="B9" s="269"/>
      <x:c r="C9" s="270"/>
      <x:c r="D9" s="268" t="str">
        <x:v>LATEST MARGIN RATE</x:v>
      </x:c>
      <x:c r="E9" s="269"/>
      <x:c r="F9" s="270"/>
      <x:c r="G9" s="268" t="str">
        <x:v>LATEST CONVERSION RATE</x:v>
      </x:c>
      <x:c r="H9" s="269"/>
      <x:c r="I9" s="270"/>
      <x:c r="J9" s="268" t="str">
        <x:v>LATEST RETURN RATE</x:v>
      </x:c>
      <x:c r="K9" s="269"/>
      <x:c r="L9" s="270"/>
      <x:c r="M9" s="240"/>
    </x:row>
    <x:row r="10">
      <x:c r="A10" s="271" t="n">
        <x:f>'Monthly KPI'!V10</x:f>
        <x:v>23744.89497163592</x:v>
      </x:c>
      <x:c r="B10" s="272"/>
      <x:c r="C10" s="273"/>
      <x:c r="D10" s="274" t="n">
        <x:f>'Monthly KPI'!AA10</x:f>
        <x:v>0.07559568651009246</x:v>
      </x:c>
      <x:c r="E10" s="275"/>
      <x:c r="F10" s="276"/>
      <x:c r="G10" s="274" t="n">
        <x:f>'Monthly KPI'!N10</x:f>
        <x:v>0.14668063625107153</x:v>
      </x:c>
      <x:c r="H10" s="275"/>
      <x:c r="I10" s="276"/>
      <x:c r="J10" s="274" t="n">
        <x:f>'Monthly KPI'!Q10</x:f>
        <x:v>0.1227810650887574</x:v>
      </x:c>
      <x:c r="K10" s="275"/>
      <x:c r="L10" s="276"/>
      <x:c r="M10" s="240"/>
    </x:row>
    <x:row r="11">
      <x:c r="A11" s="277"/>
      <x:c r="B11" s="278"/>
      <x:c r="C11" s="279"/>
      <x:c r="D11" s="280"/>
      <x:c r="E11" s="281"/>
      <x:c r="F11" s="282"/>
      <x:c r="G11" s="280"/>
      <x:c r="H11" s="281"/>
      <x:c r="I11" s="282"/>
      <x:c r="J11" s="280"/>
      <x:c r="K11" s="281"/>
      <x:c r="L11" s="282"/>
      <x:c r="M11" s="240"/>
    </x:row>
    <x:row r="12">
      <x:c r="A12" s="240"/>
      <x:c r="B12" s="240"/>
      <x:c r="C12" s="240"/>
      <x:c r="D12" s="240"/>
      <x:c r="E12" s="240"/>
      <x:c r="F12" s="240"/>
      <x:c r="G12" s="240"/>
      <x:c r="H12" s="240"/>
      <x:c r="I12" s="240"/>
      <x:c r="J12" s="240"/>
      <x:c r="K12" s="240"/>
      <x:c r="L12" s="240"/>
      <x:c r="M12" s="240"/>
    </x:row>
    <x:row r="13" ht="43" customHeight="1">
      <x:c r="A13" s="283" t="str">
        <x:v>Q2 revenue grew 12.8% QoQ, while contribution margin fell €52,168. Primary management question: how do we protect growth while recovering margin?</x:v>
      </x:c>
      <x:c r="B13" s="284"/>
      <x:c r="C13" s="284"/>
      <x:c r="D13" s="284"/>
      <x:c r="E13" s="284"/>
      <x:c r="F13" s="284"/>
      <x:c r="G13" s="284"/>
      <x:c r="H13" s="284"/>
      <x:c r="I13" s="284"/>
      <x:c r="J13" s="284"/>
      <x:c r="K13" s="284"/>
      <x:c r="L13" s="284"/>
      <x:c r="M13" s="285"/>
    </x:row>
    <x:row r="14">
      <x:c r="A14" s="240"/>
      <x:c r="B14" s="240"/>
      <x:c r="C14" s="240"/>
      <x:c r="D14" s="240"/>
      <x:c r="E14" s="240"/>
      <x:c r="F14" s="240"/>
      <x:c r="G14" s="240"/>
      <x:c r="H14" s="240"/>
      <x:c r="I14" s="240"/>
      <x:c r="J14" s="240"/>
      <x:c r="K14" s="240"/>
      <x:c r="L14" s="240"/>
      <x:c r="M14" s="240"/>
    </x:row>
    <x:row r="15" ht="34" customHeight="1">
      <x:c r="A15" s="286" t="str">
        <x:v>Month</x:v>
      </x:c>
      <x:c r="B15" s="287" t="str">
        <x:v>Net Revenue</x:v>
      </x:c>
      <x:c r="C15" s="288" t="str">
        <x:v>Revenue Target</x:v>
      </x:c>
      <x:c r="D15" s="240"/>
      <x:c r="E15" s="240"/>
      <x:c r="F15" s="240"/>
      <x:c r="G15" s="240"/>
      <x:c r="H15" s="240"/>
      <x:c r="I15" s="240"/>
      <x:c r="J15" s="240"/>
      <x:c r="K15" s="240"/>
      <x:c r="L15" s="240"/>
      <x:c r="M15" s="240"/>
    </x:row>
    <x:row r="16">
      <x:c r="A16" s="240" t="str">
        <x:f>TEXT('Monthly KPI'!A5,"mmm yy")</x:f>
        <x:v>Jan 25</x:v>
      </x:c>
      <x:c r="B16" s="289" t="n">
        <x:f>'Monthly KPI'!E5</x:f>
        <x:v>159875.5947150702</x:v>
      </x:c>
      <x:c r="C16" s="289" t="n">
        <x:f>'Monthly KPI'!U5</x:f>
        <x:v>159596.25</x:v>
      </x:c>
      <x:c r="D16" s="240"/>
      <x:c r="E16" s="240"/>
      <x:c r="F16" s="240"/>
      <x:c r="G16" s="240"/>
      <x:c r="H16" s="240"/>
      <x:c r="I16" s="240"/>
      <x:c r="J16" s="240"/>
      <x:c r="K16" s="240"/>
      <x:c r="L16" s="240"/>
      <x:c r="M16" s="240"/>
    </x:row>
    <x:row r="17">
      <x:c r="A17" s="240" t="str">
        <x:f>TEXT('Monthly KPI'!A6,"mmm yy")</x:f>
        <x:v>Feb 25</x:v>
      </x:c>
      <x:c r="B17" s="289" t="n">
        <x:f>'Monthly KPI'!E6</x:f>
        <x:v>160688.95592383982</x:v>
      </x:c>
      <x:c r="C17" s="289" t="n">
        <x:f>'Monthly KPI'!U6</x:f>
        <x:v>161511.41</x:v>
      </x:c>
      <x:c r="D17" s="240"/>
      <x:c r="E17" s="240"/>
      <x:c r="F17" s="240"/>
      <x:c r="G17" s="240"/>
      <x:c r="H17" s="240"/>
      <x:c r="I17" s="240"/>
      <x:c r="J17" s="240"/>
      <x:c r="K17" s="240"/>
      <x:c r="L17" s="240"/>
      <x:c r="M17" s="240"/>
    </x:row>
    <x:row r="18">
      <x:c r="A18" s="240" t="str">
        <x:f>TEXT('Monthly KPI'!A7,"mmm yy")</x:f>
        <x:v>Mar 25</x:v>
      </x:c>
      <x:c r="B18" s="289" t="n">
        <x:f>'Monthly KPI'!E7</x:f>
        <x:v>195904.77177812107</x:v>
      </x:c>
      <x:c r="C18" s="289" t="n">
        <x:f>'Monthly KPI'!U7</x:f>
        <x:v>163426.58</x:v>
      </x:c>
      <x:c r="D18" s="240"/>
      <x:c r="E18" s="240"/>
      <x:c r="F18" s="240"/>
      <x:c r="G18" s="240"/>
      <x:c r="H18" s="240"/>
      <x:c r="I18" s="240"/>
      <x:c r="J18" s="240"/>
      <x:c r="K18" s="240"/>
      <x:c r="L18" s="240"/>
      <x:c r="M18" s="240"/>
    </x:row>
    <x:row r="19">
      <x:c r="A19" s="240" t="str">
        <x:f>TEXT('Monthly KPI'!A8,"mmm yy")</x:f>
        <x:v>Apr 25</x:v>
      </x:c>
      <x:c r="B19" s="289" t="n">
        <x:f>'Monthly KPI'!E8</x:f>
        <x:v>196835.8510453915</x:v>
      </x:c>
      <x:c r="C19" s="289" t="n">
        <x:f>'Monthly KPI'!U8</x:f>
        <x:v>165341.74</x:v>
      </x:c>
      <x:c r="D19" s="240"/>
      <x:c r="E19" s="240"/>
      <x:c r="F19" s="240"/>
      <x:c r="G19" s="240"/>
      <x:c r="H19" s="240"/>
      <x:c r="I19" s="240"/>
      <x:c r="J19" s="240"/>
      <x:c r="K19" s="240"/>
      <x:c r="L19" s="240"/>
      <x:c r="M19" s="240"/>
    </x:row>
    <x:row r="20">
      <x:c r="A20" s="240" t="str">
        <x:f>TEXT('Monthly KPI'!A9,"mmm yy")</x:f>
        <x:v>May 25</x:v>
      </x:c>
      <x:c r="B20" s="289" t="n">
        <x:f>'Monthly KPI'!E9</x:f>
        <x:v>192936.10431627164</x:v>
      </x:c>
      <x:c r="C20" s="289" t="n">
        <x:f>'Monthly KPI'!U9</x:f>
        <x:v>167256.91</x:v>
      </x:c>
      <x:c r="D20" s="240"/>
      <x:c r="E20" s="240"/>
      <x:c r="F20" s="240"/>
      <x:c r="G20" s="240"/>
      <x:c r="H20" s="240"/>
      <x:c r="I20" s="240"/>
      <x:c r="J20" s="240"/>
      <x:c r="K20" s="240"/>
      <x:c r="L20" s="240"/>
      <x:c r="M20" s="240"/>
    </x:row>
    <x:row r="21">
      <x:c r="A21" s="240" t="str">
        <x:f>TEXT('Monthly KPI'!A10,"mmm yy")</x:f>
        <x:v>Jun 25</x:v>
      </x:c>
      <x:c r="B21" s="289" t="n">
        <x:f>'Monthly KPI'!E10</x:f>
        <x:v>192916.96497163593</x:v>
      </x:c>
      <x:c r="C21" s="289" t="n">
        <x:f>'Monthly KPI'!U10</x:f>
        <x:v>169172.07</x:v>
      </x:c>
      <x:c r="D21" s="240"/>
      <x:c r="E21" s="240"/>
      <x:c r="F21" s="240"/>
      <x:c r="G21" s="240"/>
      <x:c r="H21" s="240"/>
      <x:c r="I21" s="240"/>
      <x:c r="J21" s="240"/>
      <x:c r="K21" s="240"/>
      <x:c r="L21" s="240"/>
      <x:c r="M21" s="240"/>
    </x:row>
    <x:row r="22">
      <x:c r="A22" s="240"/>
      <x:c r="B22" s="240"/>
      <x:c r="C22" s="240"/>
      <x:c r="D22" s="240"/>
      <x:c r="E22" s="240"/>
      <x:c r="F22" s="240"/>
      <x:c r="G22" s="240"/>
      <x:c r="H22" s="240"/>
      <x:c r="I22" s="240"/>
      <x:c r="J22" s="240"/>
      <x:c r="K22" s="240"/>
      <x:c r="L22" s="240"/>
      <x:c r="M22" s="240"/>
    </x:row>
    <x:row r="23">
      <x:c r="A23" s="240"/>
      <x:c r="B23" s="240"/>
      <x:c r="C23" s="240"/>
      <x:c r="D23" s="240"/>
      <x:c r="E23" s="240"/>
      <x:c r="F23" s="240"/>
      <x:c r="G23" s="240"/>
      <x:c r="H23" s="240"/>
      <x:c r="I23" s="240"/>
      <x:c r="J23" s="240"/>
      <x:c r="K23" s="240"/>
      <x:c r="L23" s="240"/>
      <x:c r="M23" s="240"/>
    </x:row>
    <x:row r="24">
      <x:c r="A24" s="240"/>
      <x:c r="B24" s="240"/>
      <x:c r="C24" s="240"/>
      <x:c r="D24" s="240"/>
      <x:c r="E24" s="240"/>
      <x:c r="F24" s="240"/>
      <x:c r="G24" s="240"/>
      <x:c r="H24" s="240"/>
      <x:c r="I24" s="240"/>
      <x:c r="J24" s="240"/>
      <x:c r="K24" s="240"/>
      <x:c r="L24" s="240"/>
      <x:c r="M24" s="240"/>
    </x:row>
    <x:row r="25">
      <x:c r="A25" s="240"/>
      <x:c r="B25" s="240"/>
      <x:c r="C25" s="240"/>
      <x:c r="D25" s="240"/>
      <x:c r="E25" s="240"/>
      <x:c r="F25" s="240"/>
      <x:c r="G25" s="240"/>
      <x:c r="H25" s="240"/>
      <x:c r="I25" s="240"/>
      <x:c r="J25" s="240"/>
      <x:c r="K25" s="240"/>
      <x:c r="L25" s="240"/>
      <x:c r="M25" s="240"/>
    </x:row>
    <x:row r="26">
      <x:c r="A26" s="240"/>
      <x:c r="B26" s="240"/>
      <x:c r="C26" s="240"/>
      <x:c r="D26" s="240"/>
      <x:c r="E26" s="240"/>
      <x:c r="F26" s="240"/>
      <x:c r="G26" s="240"/>
      <x:c r="H26" s="240"/>
      <x:c r="I26" s="240"/>
      <x:c r="J26" s="240"/>
      <x:c r="K26" s="240"/>
      <x:c r="L26" s="240"/>
      <x:c r="M26" s="240"/>
    </x:row>
    <x:row r="27">
      <x:c r="A27" s="240"/>
      <x:c r="B27" s="240"/>
      <x:c r="C27" s="240"/>
      <x:c r="D27" s="240"/>
      <x:c r="E27" s="240"/>
      <x:c r="F27" s="240"/>
      <x:c r="G27" s="240"/>
      <x:c r="H27" s="240"/>
      <x:c r="I27" s="240"/>
      <x:c r="J27" s="240"/>
      <x:c r="K27" s="240"/>
      <x:c r="L27" s="240"/>
      <x:c r="M27" s="240"/>
    </x:row>
    <x:row r="28">
      <x:c r="A28" s="240"/>
      <x:c r="B28" s="240"/>
      <x:c r="C28" s="240"/>
      <x:c r="D28" s="240"/>
      <x:c r="E28" s="240"/>
      <x:c r="F28" s="240"/>
      <x:c r="G28" s="240"/>
      <x:c r="H28" s="240"/>
      <x:c r="I28" s="240"/>
      <x:c r="J28" s="240"/>
      <x:c r="K28" s="240"/>
      <x:c r="L28" s="240"/>
      <x:c r="M28" s="240"/>
    </x:row>
    <x:row r="29">
      <x:c r="A29" s="240"/>
      <x:c r="B29" s="240"/>
      <x:c r="C29" s="240"/>
      <x:c r="D29" s="240"/>
      <x:c r="E29" s="240"/>
      <x:c r="F29" s="240"/>
      <x:c r="G29" s="240"/>
      <x:c r="H29" s="240"/>
      <x:c r="I29" s="240"/>
      <x:c r="J29" s="240"/>
      <x:c r="K29" s="240"/>
      <x:c r="L29" s="240"/>
      <x:c r="M29" s="240"/>
    </x:row>
    <x:row r="30" ht="34" customHeight="1">
      <x:c r="A30" s="286" t="str">
        <x:v>Month</x:v>
      </x:c>
      <x:c r="B30" s="287" t="str">
        <x:v>Margin Rate</x:v>
      </x:c>
      <x:c r="C30" s="288" t="str">
        <x:v>Return Rate</x:v>
      </x:c>
      <x:c r="D30" s="240"/>
      <x:c r="E30" s="240"/>
      <x:c r="F30" s="240"/>
      <x:c r="G30" s="240"/>
      <x:c r="H30" s="240"/>
      <x:c r="I30" s="240"/>
      <x:c r="J30" s="240"/>
      <x:c r="K30" s="240"/>
      <x:c r="L30" s="240"/>
      <x:c r="M30" s="240"/>
    </x:row>
    <x:row r="31">
      <x:c r="A31" s="240" t="str">
        <x:f>TEXT('Monthly KPI'!A5,"mmm yy")</x:f>
        <x:v>Jan 25</x:v>
      </x:c>
      <x:c r="B31" s="290" t="n">
        <x:f>'Monthly KPI'!AA5</x:f>
        <x:v>0.1741255508630157</x:v>
      </x:c>
      <x:c r="C31" s="290" t="n">
        <x:f>'Monthly KPI'!Q5</x:f>
        <x:v>0.12055160142348754</x:v>
      </x:c>
      <x:c r="D31" s="240"/>
      <x:c r="E31" s="240"/>
      <x:c r="F31" s="240"/>
      <x:c r="G31" s="240"/>
      <x:c r="H31" s="240"/>
      <x:c r="I31" s="240"/>
      <x:c r="J31" s="240"/>
      <x:c r="K31" s="240"/>
      <x:c r="L31" s="240"/>
      <x:c r="M31" s="240"/>
    </x:row>
    <x:row r="32">
      <x:c r="A32" s="240" t="str">
        <x:f>TEXT('Monthly KPI'!A6,"mmm yy")</x:f>
        <x:v>Feb 25</x:v>
      </x:c>
      <x:c r="B32" s="290" t="n">
        <x:f>'Monthly KPI'!AA6</x:f>
        <x:v>0.17421404908011448</x:v>
      </x:c>
      <x:c r="C32" s="290" t="n">
        <x:f>'Monthly KPI'!Q6</x:f>
        <x:v>0.12649800266311584</x:v>
      </x:c>
      <x:c r="D32" s="240"/>
      <x:c r="E32" s="240"/>
      <x:c r="F32" s="240"/>
      <x:c r="G32" s="240"/>
      <x:c r="H32" s="240"/>
      <x:c r="I32" s="240"/>
      <x:c r="J32" s="240"/>
      <x:c r="K32" s="240"/>
      <x:c r="L32" s="240"/>
      <x:c r="M32" s="240"/>
    </x:row>
    <x:row r="33">
      <x:c r="A33" s="240" t="str">
        <x:f>TEXT('Monthly KPI'!A7,"mmm yy")</x:f>
        <x:v>Mar 25</x:v>
      </x:c>
      <x:c r="B33" s="290" t="n">
        <x:f>'Monthly KPI'!AA7</x:f>
        <x:v>0.18402213561875694</x:v>
      </x:c>
      <x:c r="C33" s="290" t="n">
        <x:f>'Monthly KPI'!Q7</x:f>
        <x:v>0.11667913238593867</x:v>
      </x:c>
      <x:c r="D33" s="240"/>
      <x:c r="E33" s="240"/>
      <x:c r="F33" s="240"/>
      <x:c r="G33" s="240"/>
      <x:c r="H33" s="240"/>
      <x:c r="I33" s="240"/>
      <x:c r="J33" s="240"/>
      <x:c r="K33" s="240"/>
      <x:c r="L33" s="240"/>
      <x:c r="M33" s="240"/>
    </x:row>
    <x:row r="34">
      <x:c r="A34" s="240" t="str">
        <x:f>TEXT('Monthly KPI'!A8,"mmm yy")</x:f>
        <x:v>Apr 25</x:v>
      </x:c>
      <x:c r="B34" s="290" t="n">
        <x:f>'Monthly KPI'!AA8</x:f>
        <x:v>0.07098293484686477</x:v>
      </x:c>
      <x:c r="C34" s="290" t="n">
        <x:f>'Monthly KPI'!Q8</x:f>
        <x:v>0.12929145361577793</x:v>
      </x:c>
      <x:c r="D34" s="240"/>
      <x:c r="E34" s="240"/>
      <x:c r="F34" s="240"/>
      <x:c r="G34" s="240"/>
      <x:c r="H34" s="240"/>
      <x:c r="I34" s="240"/>
      <x:c r="J34" s="240"/>
      <x:c r="K34" s="240"/>
      <x:c r="L34" s="240"/>
      <x:c r="M34" s="240"/>
    </x:row>
    <x:row r="35">
      <x:c r="A35" s="240" t="str">
        <x:f>TEXT('Monthly KPI'!A9,"mmm yy")</x:f>
        <x:v>May 25</x:v>
      </x:c>
      <x:c r="B35" s="290" t="n">
        <x:f>'Monthly KPI'!AA9</x:f>
        <x:v>0.057842034516186774</x:v>
      </x:c>
      <x:c r="C35" s="290" t="n">
        <x:f>'Monthly KPI'!Q9</x:f>
        <x:v>0.13307170888333927</x:v>
      </x:c>
      <x:c r="D35" s="240"/>
      <x:c r="E35" s="240"/>
      <x:c r="F35" s="240"/>
      <x:c r="G35" s="240"/>
      <x:c r="H35" s="240"/>
      <x:c r="I35" s="240"/>
      <x:c r="J35" s="240"/>
      <x:c r="K35" s="240"/>
      <x:c r="L35" s="240"/>
      <x:c r="M35" s="240"/>
    </x:row>
    <x:row r="36">
      <x:c r="A36" s="240" t="str">
        <x:f>TEXT('Monthly KPI'!A10,"mmm yy")</x:f>
        <x:v>Jun 25</x:v>
      </x:c>
      <x:c r="B36" s="290" t="n">
        <x:f>'Monthly KPI'!AA10</x:f>
        <x:v>0.07559568651009246</x:v>
      </x:c>
      <x:c r="C36" s="290" t="n">
        <x:f>'Monthly KPI'!Q10</x:f>
        <x:v>0.1227810650887574</x:v>
      </x:c>
      <x:c r="D36" s="240"/>
      <x:c r="E36" s="240"/>
      <x:c r="F36" s="240"/>
      <x:c r="G36" s="240"/>
      <x:c r="H36" s="240"/>
      <x:c r="I36" s="240"/>
      <x:c r="J36" s="240"/>
      <x:c r="K36" s="240"/>
      <x:c r="L36" s="240"/>
      <x:c r="M36" s="240"/>
    </x:row>
    <x:row r="37">
      <x:c r="A37" s="240"/>
      <x:c r="B37" s="240"/>
      <x:c r="C37" s="240"/>
      <x:c r="D37" s="240"/>
      <x:c r="E37" s="240"/>
      <x:c r="F37" s="240"/>
      <x:c r="G37" s="240"/>
      <x:c r="H37" s="240"/>
      <x:c r="I37" s="240"/>
      <x:c r="J37" s="240"/>
      <x:c r="K37" s="240"/>
      <x:c r="L37" s="240"/>
      <x:c r="M37" s="240"/>
    </x:row>
    <x:row r="38">
      <x:c r="A38" s="291" t="str">
        <x:v>Management action queue</x:v>
      </x:c>
      <x:c r="B38" s="292"/>
      <x:c r="C38" s="293"/>
      <x:c r="D38" s="240"/>
      <x:c r="E38" s="240"/>
      <x:c r="F38" s="240"/>
      <x:c r="G38" s="240"/>
      <x:c r="H38" s="240"/>
      <x:c r="I38" s="240"/>
      <x:c r="J38" s="240"/>
      <x:c r="K38" s="240"/>
      <x:c r="L38" s="240"/>
      <x:c r="M38" s="240"/>
    </x:row>
    <x:row r="39" ht="42" customHeight="1">
      <x:c r="A39" s="294" t="str">
        <x:v>P0 · Commercial Director</x:v>
      </x:c>
      <x:c r="B39" s="295" t="str">
        <x:v>Reprice and cap discounts for Electronics in Paid Search.</x:v>
      </x:c>
      <x:c r="C39" s="296" t="str">
        <x:v>Proposed</x:v>
      </x:c>
      <x:c r="D39" s="240"/>
      <x:c r="E39" s="240"/>
      <x:c r="F39" s="240"/>
      <x:c r="G39" s="240"/>
      <x:c r="H39" s="240"/>
      <x:c r="I39" s="240"/>
      <x:c r="J39" s="240"/>
      <x:c r="K39" s="240"/>
      <x:c r="L39" s="240"/>
      <x:c r="M39" s="240"/>
    </x:row>
    <x:row r="40" ht="42" customHeight="1">
      <x:c r="A40" s="297" t="str">
        <x:v>P0 · Operations Director</x:v>
      </x:c>
      <x:c r="B40" s="298" t="str">
        <x:v>Launch a delivery-SLA recovery plan for DE and the North hub.</x:v>
      </x:c>
      <x:c r="C40" s="299" t="str">
        <x:v>Proposed</x:v>
      </x:c>
      <x:c r="D40" s="240"/>
      <x:c r="E40" s="240"/>
      <x:c r="F40" s="240"/>
      <x:c r="G40" s="240"/>
      <x:c r="H40" s="240"/>
      <x:c r="I40" s="240"/>
      <x:c r="J40" s="240"/>
      <x:c r="K40" s="240"/>
      <x:c r="L40" s="240"/>
      <x:c r="M40" s="240"/>
    </x:row>
    <x:row r="41" ht="42" customHeight="1">
      <x:c r="A41" s="297" t="str">
        <x:v>P1 · Head of E-commerce</x:v>
      </x:c>
      <x:c r="B41" s="298" t="str">
        <x:v>Prioritize mobile performance remediation in Sweden and the United Kingdom.</x:v>
      </x:c>
      <x:c r="C41" s="299" t="str">
        <x:v>Proposed</x:v>
      </x:c>
      <x:c r="D41" s="240"/>
      <x:c r="E41" s="240"/>
      <x:c r="F41" s="240"/>
      <x:c r="G41" s="240"/>
      <x:c r="H41" s="240"/>
      <x:c r="I41" s="240"/>
      <x:c r="J41" s="240"/>
      <x:c r="K41" s="240"/>
      <x:c r="L41" s="240"/>
      <x:c r="M41" s="240"/>
    </x:row>
    <x:row r="42" ht="42" customHeight="1">
      <x:c r="A42" s="300" t="str">
        <x:v>P1 · Inventory Planning Lead</x:v>
      </x:c>
      <x:c r="B42" s="301" t="str">
        <x:v>Raise reorder coverage for Electronics in DE.</x:v>
      </x:c>
      <x:c r="C42" s="302" t="str">
        <x:v>Proposed</x:v>
      </x:c>
      <x:c r="D42" s="240"/>
      <x:c r="E42" s="240"/>
      <x:c r="F42" s="240"/>
      <x:c r="G42" s="240"/>
      <x:c r="H42" s="240"/>
      <x:c r="I42" s="240"/>
      <x:c r="J42" s="240"/>
      <x:c r="K42" s="240"/>
      <x:c r="L42" s="240"/>
      <x:c r="M42" s="240"/>
    </x:row>
  </x:sheetData>
  <x:mergeCells>
    <x:mergeCell ref="A1:M2"/>
    <x:mergeCell ref="A3:M3"/>
    <x:mergeCell ref="A5:C5"/>
    <x:mergeCell ref="A6:C7"/>
    <x:mergeCell ref="D5:F5"/>
    <x:mergeCell ref="D6:F7"/>
    <x:mergeCell ref="G5:I5"/>
    <x:mergeCell ref="G6:I7"/>
    <x:mergeCell ref="J5:L5"/>
    <x:mergeCell ref="J6:L7"/>
    <x:mergeCell ref="A9:C9"/>
    <x:mergeCell ref="A10:C11"/>
    <x:mergeCell ref="D9:F9"/>
    <x:mergeCell ref="D10:F11"/>
    <x:mergeCell ref="G9:I9"/>
    <x:mergeCell ref="G10:I11"/>
    <x:mergeCell ref="J9:L9"/>
    <x:mergeCell ref="J10:L11"/>
    <x:mergeCell ref="A13:M13"/>
    <x:mergeCell ref="A38:C38"/>
  </x:mergeCells>
  <x:dataValidations count="1">
    <x:dataValidation type="list" sqref="C39:C42">
      <x:formula1>"Proposed,Approved,In Progress,Blocked,Completed,Deferred"</x:formula1>
    </x:dataValidation>
  </x:dataValidations>
  <x:pageMargins left="0.7" right="0.7" top="0.75" bottom="0.75" header="0.3" footer="0.3"/>
  <x:drawing xmlns:r="http://schemas.openxmlformats.org/officeDocument/2006/relationships" r:id="Rc734bebd3d9b426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2" hidden="0" customWidth="1"/>
    <x:col min="5" max="5" width="15" hidden="0" customWidth="1"/>
    <x:col min="6" max="6" width="13" hidden="0" customWidth="1"/>
    <x:col min="7" max="7" width="15" hidden="0" customWidth="1"/>
    <x:col min="8" max="8" width="14" hidden="0" customWidth="1"/>
    <x:col min="9" max="9" width="13" hidden="0" customWidth="1"/>
    <x:col min="10" max="10" width="15" hidden="0" customWidth="1"/>
    <x:col min="11" max="11" width="17" hidden="0" customWidth="1"/>
    <x:col min="12" max="12" width="11" hidden="0" customWidth="1"/>
    <x:col min="13" max="13" width="14" hidden="0" customWidth="1"/>
    <x:col min="14" max="14" width="13" hidden="0" customWidth="1"/>
    <x:col min="15" max="15" width="11" hidden="0" customWidth="1"/>
    <x:col min="16" max="16" width="13" hidden="0" customWidth="1"/>
    <x:col min="17" max="17" width="11" hidden="0" customWidth="1"/>
    <x:col min="18" max="18" width="14" hidden="0" customWidth="1"/>
    <x:col min="19" max="19" width="13" hidden="0" customWidth="1"/>
    <x:col min="20" max="20" width="12" hidden="0" customWidth="1"/>
    <x:col min="21" max="21" width="14" hidden="0" customWidth="1"/>
    <x:col min="22" max="22" width="15" hidden="0" customWidth="1"/>
    <x:col min="23" max="23" width="17" hidden="0" customWidth="1"/>
    <x:col min="24" max="24" width="18" hidden="0" customWidth="1"/>
    <x:col min="25" max="25" width="10" hidden="0" customWidth="1"/>
    <x:col min="26" max="26" width="12" hidden="0" customWidth="1"/>
    <x:col min="27" max="27" width="12" hidden="0" customWidth="1"/>
    <x:col min="28" max="28" width="14" hidden="0" customWidth="1"/>
  </x:cols>
  <x:sheetData>
    <x:row r="1" ht="25" customHeight="1">
      <x:c r="A1" s="238" t="str">
        <x:v>Monthly KPI Model</x:v>
      </x:c>
      <x:c r="B1" s="238"/>
      <x:c r="C1" s="238"/>
      <x:c r="D1" s="238"/>
      <x:c r="E1" s="238"/>
      <x:c r="F1" s="238"/>
      <x:c r="G1" s="238"/>
      <x:c r="H1" s="238"/>
      <x:c r="I1" s="238"/>
      <x:c r="J1" s="238"/>
      <x:c r="K1" s="238"/>
      <x:c r="L1" s="238"/>
      <x:c r="M1" s="238"/>
      <x:c r="N1" s="238"/>
      <x:c r="O1" s="238"/>
      <x:c r="P1" s="238"/>
      <x:c r="Q1" s="238"/>
      <x:c r="R1" s="238"/>
      <x:c r="S1" s="238"/>
      <x:c r="T1" s="238"/>
      <x:c r="U1" s="238"/>
      <x:c r="V1" s="238"/>
      <x:c r="W1" s="238"/>
      <x:c r="X1" s="238"/>
      <x:c r="Y1" s="238"/>
      <x:c r="Z1" s="238"/>
      <x:c r="AA1" s="238"/>
      <x:c r="AB1" s="238"/>
    </x:row>
    <x:row r="2" ht="25" customHeight="1">
      <x:c r="A2" s="238"/>
      <x:c r="B2" s="238"/>
      <x:c r="C2" s="238"/>
      <x:c r="D2" s="238"/>
      <x:c r="E2" s="238"/>
      <x:c r="F2" s="238"/>
      <x:c r="G2" s="238"/>
      <x:c r="H2" s="238"/>
      <x:c r="I2" s="238"/>
      <x:c r="J2" s="238"/>
      <x:c r="K2" s="238"/>
      <x:c r="L2" s="238"/>
      <x:c r="M2" s="238"/>
      <x:c r="N2" s="238"/>
      <x:c r="O2" s="238"/>
      <x:c r="P2" s="238"/>
      <x:c r="Q2" s="238"/>
      <x:c r="R2" s="238"/>
      <x:c r="S2" s="238"/>
      <x:c r="T2" s="238"/>
      <x:c r="U2" s="238"/>
      <x:c r="V2" s="238"/>
      <x:c r="W2" s="238"/>
      <x:c r="X2" s="238"/>
      <x:c r="Y2" s="238"/>
      <x:c r="Z2" s="238"/>
      <x:c r="AA2" s="238"/>
      <x:c r="AB2" s="238"/>
    </x:row>
    <x:row r="3" ht="25" customHeight="1">
      <x:c r="A3" s="239" t="str">
        <x:v>Blue cells are source inputs; white/green cells are live workbook formulas. Currency: EUR.</x:v>
      </x:c>
      <x:c r="B3" s="239"/>
      <x:c r="C3" s="239"/>
      <x:c r="D3" s="239"/>
      <x:c r="E3" s="239"/>
      <x:c r="F3" s="239"/>
      <x:c r="G3" s="239"/>
      <x:c r="H3" s="239"/>
      <x:c r="I3" s="239"/>
      <x:c r="J3" s="239"/>
      <x:c r="K3" s="239"/>
      <x:c r="L3" s="239"/>
      <x:c r="M3" s="239"/>
      <x:c r="N3" s="239"/>
      <x:c r="O3" s="239"/>
      <x:c r="P3" s="239"/>
      <x:c r="Q3" s="239"/>
      <x:c r="R3" s="239"/>
      <x:c r="S3" s="239"/>
      <x:c r="T3" s="239"/>
      <x:c r="U3" s="239"/>
      <x:c r="V3" s="239"/>
      <x:c r="W3" s="239"/>
      <x:c r="X3" s="239"/>
      <x:c r="Y3" s="239"/>
      <x:c r="Z3" s="239"/>
      <x:c r="AA3" s="239"/>
      <x:c r="AB3" s="239"/>
    </x:row>
    <x:row r="4" ht="34" customHeight="1">
      <x:c r="A4" s="286" t="str">
        <x:v>Month</x:v>
      </x:c>
      <x:c r="B4" s="287" t="str">
        <x:v>Gross Revenue</x:v>
      </x:c>
      <x:c r="C4" s="287" t="str">
        <x:v>Discounts</x:v>
      </x:c>
      <x:c r="D4" s="287" t="str">
        <x:v>Refunds</x:v>
      </x:c>
      <x:c r="E4" s="287" t="str">
        <x:v>Net Revenue</x:v>
      </x:c>
      <x:c r="F4" s="287" t="str">
        <x:v>COGS</x:v>
      </x:c>
      <x:c r="G4" s="287" t="str">
        <x:v>Recovered COGS</x:v>
      </x:c>
      <x:c r="H4" s="287" t="str">
        <x:v>Return Handling</x:v>
      </x:c>
      <x:c r="I4" s="287" t="str">
        <x:v>Fulfillment</x:v>
      </x:c>
      <x:c r="J4" s="287" t="str">
        <x:v>Marketing Spend</x:v>
      </x:c>
      <x:c r="K4" s="287" t="str">
        <x:v>Contribution Margin</x:v>
      </x:c>
      <x:c r="L4" s="287" t="str">
        <x:v>Sessions</x:v>
      </x:c>
      <x:c r="M4" s="287" t="str">
        <x:v>Converted Sessions</x:v>
      </x:c>
      <x:c r="N4" s="287" t="str">
        <x:v>Conversion Rate</x:v>
      </x:c>
      <x:c r="O4" s="287" t="str">
        <x:v>Units Sold</x:v>
      </x:c>
      <x:c r="P4" s="287" t="str">
        <x:v>Units Returned</x:v>
      </x:c>
      <x:c r="Q4" s="287" t="str">
        <x:v>Return Rate</x:v>
      </x:c>
      <x:c r="R4" s="287" t="str">
        <x:v>Fulfilled Orders</x:v>
      </x:c>
      <x:c r="S4" s="287" t="str">
        <x:v>On-Time Orders</x:v>
      </x:c>
      <x:c r="T4" s="287" t="str">
        <x:v>On-Time Rate</x:v>
      </x:c>
      <x:c r="U4" s="287" t="str">
        <x:v>Revenue Target</x:v>
      </x:c>
      <x:c r="V4" s="287" t="str">
        <x:v>Revenue Variance</x:v>
      </x:c>
      <x:c r="W4" s="287" t="str">
        <x:v>Contribution Target</x:v>
      </x:c>
      <x:c r="X4" s="287" t="str">
        <x:v>Contribution Variance</x:v>
      </x:c>
      <x:c r="Y4" s="287" t="str">
        <x:v>Orders</x:v>
      </x:c>
      <x:c r="Z4" s="287" t="str">
        <x:v>AOV</x:v>
      </x:c>
      <x:c r="AA4" s="287" t="str">
        <x:v>Margin Rate</x:v>
      </x:c>
      <x:c r="AB4" s="288" t="str">
        <x:v>Marketing ROAS</x:v>
      </x:c>
    </x:row>
    <x:row r="5">
      <x:c r="A5" s="303" t="n">
        <x:v>45658</x:v>
      </x:c>
      <x:c r="B5" s="304" t="n">
        <x:v>189025.85205897366</x:v>
      </x:c>
      <x:c r="C5" s="304" t="n">
        <x:v>7197.39705905796</x:v>
      </x:c>
      <x:c r="D5" s="304" t="n">
        <x:v>21952.860284845483</x:v>
      </x:c>
      <x:c r="E5" s="305" t="n">
        <x:f>B5-C5-D5</x:f>
        <x:v>159875.5947150702</x:v>
      </x:c>
      <x:c r="F5" s="304" t="n">
        <x:v>113085.1524427341</x:v>
      </x:c>
      <x:c r="G5" s="304" t="n">
        <x:v>7686.955899870316</x:v>
      </x:c>
      <x:c r="H5" s="304" t="n">
        <x:v>1436.9983856737192</x:v>
      </x:c>
      <x:c r="I5" s="304" t="n">
        <x:v>8296.657056904916</x:v>
      </x:c>
      <x:c r="J5" s="304" t="n">
        <x:v>16905.316730313945</x:v>
      </x:c>
      <x:c r="K5" s="305" t="n">
        <x:f>E5-F5+G5-H5-I5-J5</x:f>
        <x:v>27838.425999313844</x:v>
      </x:c>
      <x:c r="L5" s="306" t="n">
        <x:v>8807</x:v>
      </x:c>
      <x:c r="M5" s="306" t="n">
        <x:v>1301</x:v>
      </x:c>
      <x:c r="N5" s="307" t="n">
        <x:f>IF(L5=0,0,M5/L5)</x:f>
        <x:v>0.1477234018394459</x:v>
      </x:c>
      <x:c r="O5" s="306" t="n">
        <x:v>2248</x:v>
      </x:c>
      <x:c r="P5" s="306" t="n">
        <x:v>271</x:v>
      </x:c>
      <x:c r="Q5" s="307" t="n">
        <x:f>IF(O5=0,0,P5/O5)</x:f>
        <x:v>0.12055160142348754</x:v>
      </x:c>
      <x:c r="R5" s="306" t="n">
        <x:v>1278</x:v>
      </x:c>
      <x:c r="S5" s="306" t="n">
        <x:v>815</x:v>
      </x:c>
      <x:c r="T5" s="307" t="n">
        <x:f>IF(R5=0,0,S5/R5)</x:f>
        <x:v>0.6377151799687011</x:v>
      </x:c>
      <x:c r="U5" s="308" t="n">
        <x:v>159596.25</x:v>
      </x:c>
      <x:c r="V5" s="309" t="n">
        <x:f>E5-U5</x:f>
        <x:v>279.34471507021226</x:v>
      </x:c>
      <x:c r="W5" s="308" t="n">
        <x:v>45484.94</x:v>
      </x:c>
      <x:c r="X5" s="309" t="n">
        <x:f>K5-W5</x:f>
        <x:v>-17646.51400068616</x:v>
      </x:c>
      <x:c r="Y5" s="306" t="n">
        <x:v>1279</x:v>
      </x:c>
      <x:c r="Z5" s="305" t="n">
        <x:f>IF(Y5=0,0,E5/Y5)</x:f>
        <x:v>125.00046498441768</x:v>
      </x:c>
      <x:c r="AA5" s="310" t="n">
        <x:f>IF(E5=0,0,K5/E5)</x:f>
        <x:v>0.1741255508630157</x:v>
      </x:c>
      <x:c r="AB5" s="311" t="n">
        <x:f>IF(J5=0,0,E5/J5)</x:f>
        <x:v>9.457119157571748</x:v>
      </x:c>
    </x:row>
    <x:row r="6">
      <x:c r="A6" s="312" t="n">
        <x:v>45689</x:v>
      </x:c>
      <x:c r="B6" s="313" t="n">
        <x:v>190733.00851304445</x:v>
      </x:c>
      <x:c r="C6" s="313" t="n">
        <x:v>7077.069351274158</x:v>
      </x:c>
      <x:c r="D6" s="313" t="n">
        <x:v>22966.98323793045</x:v>
      </x:c>
      <x:c r="E6" s="314" t="n">
        <x:f>B6-C6-D6</x:f>
        <x:v>160688.95592383982</x:v>
      </x:c>
      <x:c r="F6" s="313" t="n">
        <x:v>114469.02579626931</x:v>
      </x:c>
      <x:c r="G6" s="313" t="n">
        <x:v>7986.900646448305</x:v>
      </x:c>
      <x:c r="H6" s="313" t="n">
        <x:v>1497.5896663296276</x:v>
      </x:c>
      <x:c r="I6" s="313" t="n">
        <x:v>8008.71861435778</x:v>
      </x:c>
      <x:c r="J6" s="313" t="n">
        <x:v>16706.248839383217</x:v>
      </x:c>
      <x:c r="K6" s="314" t="n">
        <x:f>E6-F6+G6-H6-I6-J6</x:f>
        <x:v>27994.273653948185</x:v>
      </x:c>
      <x:c r="L6" s="315" t="n">
        <x:v>8783</x:v>
      </x:c>
      <x:c r="M6" s="315" t="n">
        <x:v>1251</x:v>
      </x:c>
      <x:c r="N6" s="316" t="n">
        <x:f>IF(L6=0,0,M6/L6)</x:f>
        <x:v>0.14243424797905044</x:v>
      </x:c>
      <x:c r="O6" s="315" t="n">
        <x:v>2253</x:v>
      </x:c>
      <x:c r="P6" s="315" t="n">
        <x:v>285</x:v>
      </x:c>
      <x:c r="Q6" s="316" t="n">
        <x:f>IF(O6=0,0,P6/O6)</x:f>
        <x:v>0.12649800266311584</x:v>
      </x:c>
      <x:c r="R6" s="315" t="n">
        <x:v>1231</x:v>
      </x:c>
      <x:c r="S6" s="315" t="n">
        <x:v>826</x:v>
      </x:c>
      <x:c r="T6" s="316" t="n">
        <x:f>IF(R6=0,0,S6/R6)</x:f>
        <x:v>0.6709991876523151</x:v>
      </x:c>
      <x:c r="U6" s="317" t="n">
        <x:v>161511.41</x:v>
      </x:c>
      <x:c r="V6" s="318" t="n">
        <x:f>E6-U6</x:f>
        <x:v>-822.454076160182</x:v>
      </x:c>
      <x:c r="W6" s="317" t="n">
        <x:v>46030.76</x:v>
      </x:c>
      <x:c r="X6" s="318" t="n">
        <x:f>K6-W6</x:f>
        <x:v>-18036.486346051817</x:v>
      </x:c>
      <x:c r="Y6" s="315" t="n">
        <x:v>1231</x:v>
      </x:c>
      <x:c r="Z6" s="314" t="n">
        <x:f>IF(Y6=0,0,E6/Y6)</x:f>
        <x:v>130.5353013191225</x:v>
      </x:c>
      <x:c r="AA6" s="319" t="n">
        <x:f>IF(E6=0,0,K6/E6)</x:f>
        <x:v>0.17421404908011448</x:v>
      </x:c>
      <x:c r="AB6" s="320" t="n">
        <x:f>IF(J6=0,0,E6/J6)</x:f>
        <x:v>9.618494101741893</x:v>
      </x:c>
    </x:row>
    <x:row r="7">
      <x:c r="A7" s="312" t="n">
        <x:v>45717</x:v>
      </x:c>
      <x:c r="B7" s="313" t="n">
        <x:v>228798.84729765737</x:v>
      </x:c>
      <x:c r="C7" s="313" t="n">
        <x:v>8985.045979987905</x:v>
      </x:c>
      <x:c r="D7" s="313" t="n">
        <x:v>23909.029539548374</x:v>
      </x:c>
      <x:c r="E7" s="314" t="n">
        <x:f>B7-C7-D7</x:f>
        <x:v>195904.77177812107</x:v>
      </x:c>
      <x:c r="F7" s="313" t="n">
        <x:v>137191.40259120622</x:v>
      </x:c>
      <x:c r="G7" s="313" t="n">
        <x:v>8517.89359980853</x:v>
      </x:c>
      <x:c r="H7" s="313" t="n">
        <x:v>1662.0388238999842</x:v>
      </x:c>
      <x:c r="I7" s="313" t="n">
        <x:v>9429.157944623412</x:v>
      </x:c>
      <x:c r="J7" s="313" t="n">
        <x:v>20089.251537684966</x:v>
      </x:c>
      <x:c r="K7" s="314" t="n">
        <x:f>E7-F7+G7-H7-I7-J7</x:f>
        <x:v>36050.81448051502</x:v>
      </x:c>
      <x:c r="L7" s="315" t="n">
        <x:v>10402</x:v>
      </x:c>
      <x:c r="M7" s="315" t="n">
        <x:v>1473</x:v>
      </x:c>
      <x:c r="N7" s="316" t="n">
        <x:f>IF(L7=0,0,M7/L7)</x:f>
        <x:v>0.1416073831955393</x:v>
      </x:c>
      <x:c r="O7" s="315" t="n">
        <x:v>2674</x:v>
      </x:c>
      <x:c r="P7" s="315" t="n">
        <x:v>312</x:v>
      </x:c>
      <x:c r="Q7" s="316" t="n">
        <x:f>IF(O7=0,0,P7/O7)</x:f>
        <x:v>0.11667913238593867</x:v>
      </x:c>
      <x:c r="R7" s="315" t="n">
        <x:v>1446</x:v>
      </x:c>
      <x:c r="S7" s="315" t="n">
        <x:v>957</x:v>
      </x:c>
      <x:c r="T7" s="316" t="n">
        <x:f>IF(R7=0,0,S7/R7)</x:f>
        <x:v>0.6618257261410788</x:v>
      </x:c>
      <x:c r="U7" s="317" t="n">
        <x:v>163426.58</x:v>
      </x:c>
      <x:c r="V7" s="318" t="n">
        <x:f>E7-U7</x:f>
        <x:v>32478.19177812108</x:v>
      </x:c>
      <x:c r="W7" s="317" t="n">
        <x:v>46576.57</x:v>
      </x:c>
      <x:c r="X7" s="318" t="n">
        <x:f>K7-W7</x:f>
        <x:v>-10525.755519484977</x:v>
      </x:c>
      <x:c r="Y7" s="315" t="n">
        <x:v>1446</x:v>
      </x:c>
      <x:c r="Z7" s="314" t="n">
        <x:f>IF(Y7=0,0,E7/Y7)</x:f>
        <x:v>135.48047840810585</x:v>
      </x:c>
      <x:c r="AA7" s="319" t="n">
        <x:f>IF(E7=0,0,K7/E7)</x:f>
        <x:v>0.18402213561875694</x:v>
      </x:c>
      <x:c r="AB7" s="320" t="n">
        <x:f>IF(J7=0,0,E7/J7)</x:f>
        <x:v>9.751720785148606</x:v>
      </x:c>
    </x:row>
    <x:row r="8">
      <x:c r="A8" s="312" t="n">
        <x:v>45748</x:v>
      </x:c>
      <x:c r="B8" s="313" t="n">
        <x:v>233650.32539976848</x:v>
      </x:c>
      <x:c r="C8" s="313" t="n">
        <x:v>9195.307438344911</x:v>
      </x:c>
      <x:c r="D8" s="313" t="n">
        <x:v>27619.166916032096</x:v>
      </x:c>
      <x:c r="E8" s="314" t="n">
        <x:f>B8-C8-D8</x:f>
        <x:v>196835.8510453915</x:v>
      </x:c>
      <x:c r="F8" s="313" t="n">
        <x:v>140529.779417261</x:v>
      </x:c>
      <x:c r="G8" s="313" t="n">
        <x:v>9629.828212219021</x:v>
      </x:c>
      <x:c r="H8" s="313" t="n">
        <x:v>1911.6276463921527</x:v>
      </x:c>
      <x:c r="I8" s="313" t="n">
        <x:v>9932.700602246197</x:v>
      </x:c>
      <x:c r="J8" s="313" t="n">
        <x:v>40119.58520142898</x:v>
      </x:c>
      <x:c r="K8" s="314" t="n">
        <x:f>E8-F8+G8-H8-I8-J8</x:f>
        <x:v>13971.986390282204</x:v>
      </x:c>
      <x:c r="L8" s="315" t="n">
        <x:v>10503</x:v>
      </x:c>
      <x:c r="M8" s="315" t="n">
        <x:v>1551</x:v>
      </x:c>
      <x:c r="N8" s="316" t="n">
        <x:f>IF(L8=0,0,M8/L8)</x:f>
        <x:v>0.14767209368751785</x:v>
      </x:c>
      <x:c r="O8" s="315" t="n">
        <x:v>2738</x:v>
      </x:c>
      <x:c r="P8" s="315" t="n">
        <x:v>354</x:v>
      </x:c>
      <x:c r="Q8" s="316" t="n">
        <x:f>IF(O8=0,0,P8/O8)</x:f>
        <x:v>0.12929145361577793</x:v>
      </x:c>
      <x:c r="R8" s="315" t="n">
        <x:v>1516</x:v>
      </x:c>
      <x:c r="S8" s="315" t="n">
        <x:v>951</x:v>
      </x:c>
      <x:c r="T8" s="316" t="n">
        <x:f>IF(R8=0,0,S8/R8)</x:f>
        <x:v>0.6273087071240105</x:v>
      </x:c>
      <x:c r="U8" s="317" t="n">
        <x:v>165341.74</x:v>
      </x:c>
      <x:c r="V8" s="318" t="n">
        <x:f>E8-U8</x:f>
        <x:v>31494.111045391503</x:v>
      </x:c>
      <x:c r="W8" s="317" t="n">
        <x:v>47122.44</x:v>
      </x:c>
      <x:c r="X8" s="318" t="n">
        <x:f>K8-W8</x:f>
        <x:v>-33150.4536097178</x:v>
      </x:c>
      <x:c r="Y8" s="315" t="n">
        <x:v>1517</x:v>
      </x:c>
      <x:c r="Z8" s="314" t="n">
        <x:f>IF(Y8=0,0,E8/Y8)</x:f>
        <x:v>129.75336258760152</x:v>
      </x:c>
      <x:c r="AA8" s="319" t="n">
        <x:f>IF(E8=0,0,K8/E8)</x:f>
        <x:v>0.07098293484686477</x:v>
      </x:c>
      <x:c r="AB8" s="320" t="n">
        <x:f>IF(J8=0,0,E8/J8)</x:f>
        <x:v>4.906228468144297</x:v>
      </x:c>
    </x:row>
    <x:row r="9">
      <x:c r="A9" s="312" t="n">
        <x:v>45778</x:v>
      </x:c>
      <x:c r="B9" s="313" t="n">
        <x:v>232290.28237716042</x:v>
      </x:c>
      <x:c r="C9" s="313" t="n">
        <x:v>9036.490367540702</x:v>
      </x:c>
      <x:c r="D9" s="313" t="n">
        <x:v>30317.687693348063</x:v>
      </x:c>
      <x:c r="E9" s="314" t="n">
        <x:f>B9-C9-D9</x:f>
        <x:v>192936.10431627164</x:v>
      </x:c>
      <x:c r="F9" s="313" t="n">
        <x:v>138872.7996980698</x:v>
      </x:c>
      <x:c r="G9" s="313" t="n">
        <x:v>11036.86539787151</x:v>
      </x:c>
      <x:c r="H9" s="313" t="n">
        <x:v>1970.9719604424388</x:v>
      </x:c>
      <x:c r="I9" s="313" t="n">
        <x:v>10095.276296916034</x:v>
      </x:c>
      <x:c r="J9" s="313" t="n">
        <x:v>41874.10495343447</x:v>
      </x:c>
      <x:c r="K9" s="314" t="n">
        <x:f>E9-F9+G9-H9-I9-J9</x:f>
        <x:v>11159.816805280396</x:v>
      </x:c>
      <x:c r="L9" s="315" t="n">
        <x:v>10982</x:v>
      </x:c>
      <x:c r="M9" s="315" t="n">
        <x:v>1575</x:v>
      </x:c>
      <x:c r="N9" s="316" t="n">
        <x:f>IF(L9=0,0,M9/L9)</x:f>
        <x:v>0.1434164997268257</x:v>
      </x:c>
      <x:c r="O9" s="315" t="n">
        <x:v>2803</x:v>
      </x:c>
      <x:c r="P9" s="315" t="n">
        <x:v>373</x:v>
      </x:c>
      <x:c r="Q9" s="316" t="n">
        <x:f>IF(O9=0,0,P9/O9)</x:f>
        <x:v>0.13307170888333927</x:v>
      </x:c>
      <x:c r="R9" s="315" t="n">
        <x:v>1541</x:v>
      </x:c>
      <x:c r="S9" s="315" t="n">
        <x:v>982</x:v>
      </x:c>
      <x:c r="T9" s="316" t="n">
        <x:f>IF(R9=0,0,S9/R9)</x:f>
        <x:v>0.6372485399091499</x:v>
      </x:c>
      <x:c r="U9" s="317" t="n">
        <x:v>167256.91</x:v>
      </x:c>
      <x:c r="V9" s="318" t="n">
        <x:f>E9-U9</x:f>
        <x:v>25679.194316271634</x:v>
      </x:c>
      <x:c r="W9" s="317" t="n">
        <x:v>47668.2</x:v>
      </x:c>
      <x:c r="X9" s="318" t="n">
        <x:f>K9-W9</x:f>
        <x:v>-36508.3831947196</x:v>
      </x:c>
      <x:c r="Y9" s="315" t="n">
        <x:v>1543</x:v>
      </x:c>
      <x:c r="Z9" s="314" t="n">
        <x:f>IF(Y9=0,0,E9/Y9)</x:f>
        <x:v>125.03960098267767</x:v>
      </x:c>
      <x:c r="AA9" s="319" t="n">
        <x:f>IF(E9=0,0,K9/E9)</x:f>
        <x:v>0.057842034516186774</x:v>
      </x:c>
      <x:c r="AB9" s="320" t="n">
        <x:f>IF(J9=0,0,E9/J9)</x:f>
        <x:v>4.607527839241546</x:v>
      </x:c>
    </x:row>
    <x:row r="10">
      <x:c r="A10" s="321" t="n">
        <x:v>45809</x:v>
      </x:c>
      <x:c r="B10" s="322" t="n">
        <x:v>228937.9767709419</x:v>
      </x:c>
      <x:c r="C10" s="322" t="n">
        <x:v>8781.9872257291</x:v>
      </x:c>
      <x:c r="D10" s="322" t="n">
        <x:v>27239.024573576873</x:v>
      </x:c>
      <x:c r="E10" s="323" t="n">
        <x:f>B10-C10-D10</x:f>
        <x:v>192916.96497163593</x:v>
      </x:c>
      <x:c r="F10" s="322" t="n">
        <x:v>137611.4247862133</x:v>
      </x:c>
      <x:c r="G10" s="322" t="n">
        <x:v>10285.954542905278</x:v>
      </x:c>
      <x:c r="H10" s="322" t="n">
        <x:v>1780.1798716401458</x:v>
      </x:c>
      <x:c r="I10" s="322" t="n">
        <x:v>9828.173788227472</x:v>
      </x:c>
      <x:c r="J10" s="322" t="n">
        <x:v>39399.450661986026</x:v>
      </x:c>
      <x:c r="K10" s="323" t="n">
        <x:f>E10-F10+G10-H10-I10-J10</x:f>
        <x:v>14583.690406474278</x:v>
      </x:c>
      <x:c r="L10" s="324" t="n">
        <x:v>10499</x:v>
      </x:c>
      <x:c r="M10" s="324" t="n">
        <x:v>1540</x:v>
      </x:c>
      <x:c r="N10" s="325" t="n">
        <x:f>IF(L10=0,0,M10/L10)</x:f>
        <x:v>0.14668063625107153</x:v>
      </x:c>
      <x:c r="O10" s="324" t="n">
        <x:v>2704</x:v>
      </x:c>
      <x:c r="P10" s="324" t="n">
        <x:v>332</x:v>
      </x:c>
      <x:c r="Q10" s="325" t="n">
        <x:f>IF(O10=0,0,P10/O10)</x:f>
        <x:v>0.1227810650887574</x:v>
      </x:c>
      <x:c r="R10" s="324" t="n">
        <x:v>1511</x:v>
      </x:c>
      <x:c r="S10" s="324" t="n">
        <x:v>965</x:v>
      </x:c>
      <x:c r="T10" s="325" t="n">
        <x:f>IF(R10=0,0,S10/R10)</x:f>
        <x:v>0.6386499007279947</x:v>
      </x:c>
      <x:c r="U10" s="326" t="n">
        <x:v>169172.07</x:v>
      </x:c>
      <x:c r="V10" s="327" t="n">
        <x:f>E10-U10</x:f>
        <x:v>23744.89497163592</x:v>
      </x:c>
      <x:c r="W10" s="326" t="n">
        <x:v>48214.11</x:v>
      </x:c>
      <x:c r="X10" s="327" t="n">
        <x:f>K10-W10</x:f>
        <x:v>-33630.41959352572</x:v>
      </x:c>
      <x:c r="Y10" s="324" t="n">
        <x:v>1513</x:v>
      </x:c>
      <x:c r="Z10" s="323" t="n">
        <x:f>IF(Y10=0,0,E10/Y10)</x:f>
        <x:v>127.50625576446525</x:v>
      </x:c>
      <x:c r="AA10" s="328" t="n">
        <x:f>IF(E10=0,0,K10/E10)</x:f>
        <x:v>0.07559568651009246</x:v>
      </x:c>
      <x:c r="AB10" s="329" t="n">
        <x:f>IF(J10=0,0,E10/J10)</x:f>
        <x:v>4.896437938353516</x:v>
      </x:c>
    </x:row>
  </x:sheetData>
  <x:mergeCells>
    <x:mergeCell ref="A1:AB2"/>
    <x:mergeCell ref="A3:AB3"/>
  </x:mergeCells>
  <x:conditionalFormatting sqref="V5:V10">
    <x:cfRule type="cellIs" dxfId="0" priority="1" operator="lessThan">
      <x:formula>0</x:formula>
    </x:cfRule>
  </x:conditionalFormatting>
  <x:conditionalFormatting sqref="X5:X10">
    <x:cfRule type="cellIs" dxfId="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de749d211446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9" hidden="0" customWidth="1"/>
    <x:col min="3" max="3" width="16" hidden="0" customWidth="1"/>
    <x:col min="4" max="4" width="18" hidden="0" customWidth="1"/>
    <x:col min="5" max="5" width="17" hidden="0" customWidth="1"/>
    <x:col min="6" max="6" width="17" hidden="0" customWidth="1"/>
    <x:col min="7" max="7" width="12" hidden="0" customWidth="1"/>
    <x:col min="8" max="8" width="17" hidden="0" customWidth="1"/>
  </x:cols>
  <x:sheetData>
    <x:row r="1" ht="25" customHeight="1">
      <x:c r="A1" s="238" t="str">
        <x:v>Root-Cause Exceptions</x:v>
      </x:c>
      <x:c r="B1" s="238"/>
      <x:c r="C1" s="238"/>
      <x:c r="D1" s="238"/>
      <x:c r="E1" s="238"/>
      <x:c r="F1" s="238"/>
      <x:c r="G1" s="238"/>
      <x:c r="H1" s="238"/>
    </x:row>
    <x:row r="2" ht="25" customHeight="1">
      <x:c r="A2" s="238"/>
      <x:c r="B2" s="238"/>
      <x:c r="C2" s="238"/>
      <x:c r="D2" s="238"/>
      <x:c r="E2" s="238"/>
      <x:c r="F2" s="238"/>
      <x:c r="G2" s="238"/>
      <x:c r="H2" s="238"/>
    </x:row>
    <x:row r="3" ht="25" customHeight="1">
      <x:c r="A3" s="239" t="str">
        <x:v>Quarter-over-quarter diagnostic ranking. Severity is calculated from contribution loss and margin-rate deterioration.</x:v>
      </x:c>
      <x:c r="B3" s="239"/>
      <x:c r="C3" s="239"/>
      <x:c r="D3" s="239"/>
      <x:c r="E3" s="239"/>
      <x:c r="F3" s="239"/>
      <x:c r="G3" s="239"/>
      <x:c r="H3" s="239"/>
    </x:row>
    <x:row r="4" ht="34" customHeight="1">
      <x:c r="A4" s="286" t="str">
        <x:v>Dimension</x:v>
      </x:c>
      <x:c r="B4" s="287" t="str">
        <x:v>Value</x:v>
      </x:c>
      <x:c r="C4" s="287" t="str">
        <x:v>Revenue Change</x:v>
      </x:c>
      <x:c r="D4" s="287" t="str">
        <x:v>Contribution Change</x:v>
      </x:c>
      <x:c r="E4" s="287" t="str">
        <x:v>Margin Rate Δ (pp)</x:v>
      </x:c>
      <x:c r="F4" s="287" t="str">
        <x:v>Current Return Rate</x:v>
      </x:c>
      <x:c r="G4" s="287" t="str">
        <x:v>Severity</x:v>
      </x:c>
      <x:c r="H4" s="288" t="str">
        <x:v>Decision Cue</x:v>
      </x:c>
    </x:row>
    <x:row r="5">
      <x:c r="A5" s="330" t="str">
        <x:v>Market</x:v>
      </x:c>
      <x:c r="B5" s="330" t="str">
        <x:v>AT</x:v>
      </x:c>
      <x:c r="C5" s="331" t="n">
        <x:v>6711.529999999999</x:v>
      </x:c>
      <x:c r="D5" s="331" t="n">
        <x:v>-4034.88</x:v>
      </x:c>
      <x:c r="E5" s="332" t="n">
        <x:v>-12.528801150104899</x:v>
      </x:c>
      <x:c r="F5" s="333" t="n">
        <x:v>0.15559157212317667</x:v>
      </x:c>
      <x:c r="G5" s="330" t="str">
        <x:f>IF(D5&lt;-15000,"Critical",IF(D5&lt;-5000,"High",IF(E5&lt;-5,"Medium","Watch")))</x:f>
        <x:v>Medium</x:v>
      </x:c>
      <x:c r="H5" s="330" t="str">
        <x:f>IF(G5="Critical","Act this week",IF(G5="High","Assign owner","Monitor"))</x:f>
        <x:v>Monitor</x:v>
      </x:c>
    </x:row>
    <x:row r="6">
      <x:c r="A6" s="334" t="str">
        <x:v>Market</x:v>
      </x:c>
      <x:c r="B6" s="334" t="str">
        <x:v>BE</x:v>
      </x:c>
      <x:c r="C6" s="335" t="n">
        <x:v>10878.59</x:v>
      </x:c>
      <x:c r="D6" s="335" t="n">
        <x:v>61.36000000000013</x:v>
      </x:c>
      <x:c r="E6" s="336" t="n">
        <x:v>-4.8462838585483325</x:v>
      </x:c>
      <x:c r="F6" s="337" t="n">
        <x:v>0.10421286031042129</x:v>
      </x:c>
      <x:c r="G6" s="334" t="str">
        <x:f>IF(D6&lt;-15000,"Critical",IF(D6&lt;-5000,"High",IF(E6&lt;-5,"Medium","Watch")))</x:f>
        <x:v>Watch</x:v>
      </x:c>
      <x:c r="H6" s="334" t="str">
        <x:f>IF(G6="Critical","Act this week",IF(G6="High","Assign owner","Monitor"))</x:f>
        <x:v>Monitor</x:v>
      </x:c>
    </x:row>
    <x:row r="7">
      <x:c r="A7" s="334" t="str">
        <x:v>Market</x:v>
      </x:c>
      <x:c r="B7" s="334" t="str">
        <x:v>DE</x:v>
      </x:c>
      <x:c r="C7" s="335" t="n">
        <x:v>13951.399999999994</x:v>
      </x:c>
      <x:c r="D7" s="335" t="n">
        <x:v>-18406.260000000002</x:v>
      </x:c>
      <x:c r="E7" s="336" t="n">
        <x:v>-11.950101264595208</x:v>
      </x:c>
      <x:c r="F7" s="337" t="n">
        <x:v>0.13733387031816352</x:v>
      </x:c>
      <x:c r="G7" s="334" t="str">
        <x:f>IF(D7&lt;-15000,"Critical",IF(D7&lt;-5000,"High",IF(E7&lt;-5,"Medium","Watch")))</x:f>
        <x:v>Critical</x:v>
      </x:c>
      <x:c r="H7" s="334" t="str">
        <x:f>IF(G7="Critical","Act this week",IF(G7="High","Assign owner","Monitor"))</x:f>
        <x:v>Act this week</x:v>
      </x:c>
    </x:row>
    <x:row r="8">
      <x:c r="A8" s="334" t="str">
        <x:v>Market</x:v>
      </x:c>
      <x:c r="B8" s="334" t="str">
        <x:v>ES</x:v>
      </x:c>
      <x:c r="C8" s="335" t="n">
        <x:v>4691.290000000001</x:v>
      </x:c>
      <x:c r="D8" s="335" t="n">
        <x:v>-4512.170000000001</x:v>
      </x:c>
      <x:c r="E8" s="336" t="n">
        <x:v>-11.122426086452391</x:v>
      </x:c>
      <x:c r="F8" s="337" t="n">
        <x:v>0.11603053435114503</x:v>
      </x:c>
      <x:c r="G8" s="334" t="str">
        <x:f>IF(D8&lt;-15000,"Critical",IF(D8&lt;-5000,"High",IF(E8&lt;-5,"Medium","Watch")))</x:f>
        <x:v>Medium</x:v>
      </x:c>
      <x:c r="H8" s="334" t="str">
        <x:f>IF(G8="Critical","Act this week",IF(G8="High","Assign owner","Monitor"))</x:f>
        <x:v>Monitor</x:v>
      </x:c>
    </x:row>
    <x:row r="9">
      <x:c r="A9" s="334" t="str">
        <x:v>Market</x:v>
      </x:c>
      <x:c r="B9" s="334" t="str">
        <x:v>FR</x:v>
      </x:c>
      <x:c r="C9" s="335" t="n">
        <x:v>6929.320000000007</x:v>
      </x:c>
      <x:c r="D9" s="335" t="n">
        <x:v>-5944.59</x:v>
      </x:c>
      <x:c r="E9" s="336" t="n">
        <x:v>-9.984969126577797</x:v>
      </x:c>
      <x:c r="F9" s="337" t="n">
        <x:v>0.11392405063291139</x:v>
      </x:c>
      <x:c r="G9" s="334" t="str">
        <x:f>IF(D9&lt;-15000,"Critical",IF(D9&lt;-5000,"High",IF(E9&lt;-5,"Medium","Watch")))</x:f>
        <x:v>High</x:v>
      </x:c>
      <x:c r="H9" s="334" t="str">
        <x:f>IF(G9="Critical","Act this week",IF(G9="High","Assign owner","Monitor"))</x:f>
        <x:v>Assign owner</x:v>
      </x:c>
    </x:row>
    <x:row r="10">
      <x:c r="A10" s="334" t="str">
        <x:v>Market</x:v>
      </x:c>
      <x:c r="B10" s="334" t="str">
        <x:v>GB</x:v>
      </x:c>
      <x:c r="C10" s="335" t="n">
        <x:v>2772.653522505694</x:v>
      </x:c>
      <x:c r="D10" s="335" t="n">
        <x:v>-3537.642633733392</x:v>
      </x:c>
      <x:c r="E10" s="336" t="n">
        <x:v>-11.685665661454635</x:v>
      </x:c>
      <x:c r="F10" s="337" t="n">
        <x:v>0.10526315789473684</x:v>
      </x:c>
      <x:c r="G10" s="334" t="str">
        <x:f>IF(D10&lt;-15000,"Critical",IF(D10&lt;-5000,"High",IF(E10&lt;-5,"Medium","Watch")))</x:f>
        <x:v>Medium</x:v>
      </x:c>
      <x:c r="H10" s="334" t="str">
        <x:f>IF(G10="Critical","Act this week",IF(G10="High","Assign owner","Monitor"))</x:f>
        <x:v>Monitor</x:v>
      </x:c>
    </x:row>
    <x:row r="11">
      <x:c r="A11" s="334" t="str">
        <x:v>Market</x:v>
      </x:c>
      <x:c r="B11" s="334" t="str">
        <x:v>IT</x:v>
      </x:c>
      <x:c r="C11" s="335" t="n">
        <x:v>6316.980000000003</x:v>
      </x:c>
      <x:c r="D11" s="335" t="n">
        <x:v>-5794.53</x:v>
      </x:c>
      <x:c r="E11" s="336" t="n">
        <x:v>-12.262980079081636</x:v>
      </x:c>
      <x:c r="F11" s="337" t="n">
        <x:v>0.13038130381303814</x:v>
      </x:c>
      <x:c r="G11" s="334" t="str">
        <x:f>IF(D11&lt;-15000,"Critical",IF(D11&lt;-5000,"High",IF(E11&lt;-5,"Medium","Watch")))</x:f>
        <x:v>High</x:v>
      </x:c>
      <x:c r="H11" s="334" t="str">
        <x:f>IF(G11="Critical","Act this week",IF(G11="High","Assign owner","Monitor"))</x:f>
        <x:v>Assign owner</x:v>
      </x:c>
    </x:row>
    <x:row r="12">
      <x:c r="A12" s="334" t="str">
        <x:v>Market</x:v>
      </x:c>
      <x:c r="B12" s="334" t="str">
        <x:v>NL</x:v>
      </x:c>
      <x:c r="C12" s="335" t="n">
        <x:v>4629.560000000005</x:v>
      </x:c>
      <x:c r="D12" s="335" t="n">
        <x:v>-4128.77</x:v>
      </x:c>
      <x:c r="E12" s="336" t="n">
        <x:v>-10.675591605535182</x:v>
      </x:c>
      <x:c r="F12" s="337" t="n">
        <x:v>0.13529411764705881</x:v>
      </x:c>
      <x:c r="G12" s="334" t="str">
        <x:f>IF(D12&lt;-15000,"Critical",IF(D12&lt;-5000,"High",IF(E12&lt;-5,"Medium","Watch")))</x:f>
        <x:v>Medium</x:v>
      </x:c>
      <x:c r="H12" s="334" t="str">
        <x:f>IF(G12="Critical","Act this week",IF(G12="High","Assign owner","Monitor"))</x:f>
        <x:v>Monitor</x:v>
      </x:c>
    </x:row>
    <x:row r="13">
      <x:c r="A13" s="334" t="str">
        <x:v>Market</x:v>
      </x:c>
      <x:c r="B13" s="334" t="str">
        <x:v>PL</x:v>
      </x:c>
      <x:c r="C13" s="335" t="n">
        <x:v>3327.4194708665163</x:v>
      </x:c>
      <x:c r="D13" s="335" t="n">
        <x:v>-3428.310274795393</x:v>
      </x:c>
      <x:c r="E13" s="336" t="n">
        <x:v>-11.038667192859926</x:v>
      </x:c>
      <x:c r="F13" s="337" t="n">
        <x:v>0.13523809523809524</x:v>
      </x:c>
      <x:c r="G13" s="334" t="str">
        <x:f>IF(D13&lt;-15000,"Critical",IF(D13&lt;-5000,"High",IF(E13&lt;-5,"Medium","Watch")))</x:f>
        <x:v>Medium</x:v>
      </x:c>
      <x:c r="H13" s="334" t="str">
        <x:f>IF(G13="Critical","Act this week",IF(G13="High","Assign owner","Monitor"))</x:f>
        <x:v>Monitor</x:v>
      </x:c>
    </x:row>
    <x:row r="14">
      <x:c r="A14" s="334" t="str">
        <x:v>Market</x:v>
      </x:c>
      <x:c r="B14" s="334" t="str">
        <x:v>SE</x:v>
      </x:c>
      <x:c r="C14" s="335" t="n">
        <x:v>6010.854922895673</x:v>
      </x:c>
      <x:c r="D14" s="335" t="n">
        <x:v>-2442.227623211443</x:v>
      </x:c>
      <x:c r="E14" s="336" t="n">
        <x:v>-9.159084706096827</x:v>
      </x:c>
      <x:c r="F14" s="337" t="n">
        <x:v>0.12138728323699421</x:v>
      </x:c>
      <x:c r="G14" s="334" t="str">
        <x:f>IF(D14&lt;-15000,"Critical",IF(D14&lt;-5000,"High",IF(E14&lt;-5,"Medium","Watch")))</x:f>
        <x:v>Medium</x:v>
      </x:c>
      <x:c r="H14" s="334" t="str">
        <x:f>IF(G14="Critical","Act this week",IF(G14="High","Assign owner","Monitor"))</x:f>
        <x:v>Monitor</x:v>
      </x:c>
    </x:row>
    <x:row r="15">
      <x:c r="A15" s="334" t="str">
        <x:v>Channel</x:v>
      </x:c>
      <x:c r="B15" s="334" t="str">
        <x:v>Direct</x:v>
      </x:c>
      <x:c r="C15" s="335" t="n">
        <x:v>2482.7449275146646</x:v>
      </x:c>
      <x:c r="D15" s="335" t="n">
        <x:v>235.91970741889236</x:v>
      </x:c>
      <x:c r="E15" s="336" t="n">
        <x:v>-0.6088965644912736</x:v>
      </x:c>
      <x:c r="F15" s="337" t="n">
        <x:v>0.12467306015693112</x:v>
      </x:c>
      <x:c r="G15" s="334" t="str">
        <x:f>IF(D15&lt;-15000,"Critical",IF(D15&lt;-5000,"High",IF(E15&lt;-5,"Medium","Watch")))</x:f>
        <x:v>Watch</x:v>
      </x:c>
      <x:c r="H15" s="334" t="str">
        <x:f>IF(G15="Critical","Act this week",IF(G15="High","Assign owner","Monitor"))</x:f>
        <x:v>Monitor</x:v>
      </x:c>
    </x:row>
    <x:row r="16">
      <x:c r="A16" s="334" t="str">
        <x:v>Channel</x:v>
      </x:c>
      <x:c r="B16" s="334" t="str">
        <x:v>Email / CRM</x:v>
      </x:c>
      <x:c r="C16" s="335" t="n">
        <x:v>10388.850436815934</x:v>
      </x:c>
      <x:c r="D16" s="335" t="n">
        <x:v>2373.2202576622367</x:v>
      </x:c>
      <x:c r="E16" s="336" t="n">
        <x:v>-0.6407059708307683</x:v>
      </x:c>
      <x:c r="F16" s="337" t="n">
        <x:v>0.126657824933687</x:v>
      </x:c>
      <x:c r="G16" s="334" t="str">
        <x:f>IF(D16&lt;-15000,"Critical",IF(D16&lt;-5000,"High",IF(E16&lt;-5,"Medium","Watch")))</x:f>
        <x:v>Watch</x:v>
      </x:c>
      <x:c r="H16" s="334" t="str">
        <x:f>IF(G16="Critical","Act this week",IF(G16="High","Assign owner","Monitor"))</x:f>
        <x:v>Monitor</x:v>
      </x:c>
    </x:row>
    <x:row r="17">
      <x:c r="A17" s="334" t="str">
        <x:v>Channel</x:v>
      </x:c>
      <x:c r="B17" s="334" t="str">
        <x:v>Marketplace</x:v>
      </x:c>
      <x:c r="C17" s="335" t="n">
        <x:v>4224.368675791855</x:v>
      </x:c>
      <x:c r="D17" s="335" t="n">
        <x:v>-14631.365611152441</x:v>
      </x:c>
      <x:c r="E17" s="336" t="n">
        <x:v>-30.13376845276838</x:v>
      </x:c>
      <x:c r="F17" s="337" t="n">
        <x:v>0.1277533039647577</x:v>
      </x:c>
      <x:c r="G17" s="334" t="str">
        <x:f>IF(D17&lt;-15000,"Critical",IF(D17&lt;-5000,"High",IF(E17&lt;-5,"Medium","Watch")))</x:f>
        <x:v>High</x:v>
      </x:c>
      <x:c r="H17" s="334" t="str">
        <x:f>IF(G17="Critical","Act this week",IF(G17="High","Assign owner","Monitor"))</x:f>
        <x:v>Assign owner</x:v>
      </x:c>
    </x:row>
    <x:row r="18">
      <x:c r="A18" s="334" t="str">
        <x:v>Channel</x:v>
      </x:c>
      <x:c r="B18" s="334" t="str">
        <x:v>Organic Search</x:v>
      </x:c>
      <x:c r="C18" s="335" t="n">
        <x:v>14160.503043666584</x:v>
      </x:c>
      <x:c r="D18" s="335" t="n">
        <x:v>1995.7442606510085</x:v>
      </x:c>
      <x:c r="E18" s="336" t="n">
        <x:v>-1.700430581128226</x:v>
      </x:c>
      <x:c r="F18" s="337" t="n">
        <x:v>0.12862414338429098</x:v>
      </x:c>
      <x:c r="G18" s="334" t="str">
        <x:f>IF(D18&lt;-15000,"Critical",IF(D18&lt;-5000,"High",IF(E18&lt;-5,"Medium","Watch")))</x:f>
        <x:v>Watch</x:v>
      </x:c>
      <x:c r="H18" s="334" t="str">
        <x:f>IF(G18="Critical","Act this week",IF(G18="High","Assign owner","Monitor"))</x:f>
        <x:v>Monitor</x:v>
      </x:c>
    </x:row>
    <x:row r="19">
      <x:c r="A19" s="334" t="str">
        <x:v>Channel</x:v>
      </x:c>
      <x:c r="B19" s="334" t="str">
        <x:v>Paid Search</x:v>
      </x:c>
      <x:c r="C19" s="335" t="n">
        <x:v>22764.197839404413</x:v>
      </x:c>
      <x:c r="D19" s="335" t="n">
        <x:v>-23144.57662429633</x:v>
      </x:c>
      <x:c r="E19" s="336" t="n">
        <x:v>-16.83320270293548</x:v>
      </x:c>
      <x:c r="F19" s="337" t="n">
        <x:v>0.12940057088487156</x:v>
      </x:c>
      <x:c r="G19" s="334" t="str">
        <x:f>IF(D19&lt;-15000,"Critical",IF(D19&lt;-5000,"High",IF(E19&lt;-5,"Medium","Watch")))</x:f>
        <x:v>Critical</x:v>
      </x:c>
      <x:c r="H19" s="334" t="str">
        <x:f>IF(G19="Critical","Act this week",IF(G19="High","Assign owner","Monitor"))</x:f>
        <x:v>Act this week</x:v>
      </x:c>
    </x:row>
    <x:row r="20">
      <x:c r="A20" s="334" t="str">
        <x:v>Channel</x:v>
      </x:c>
      <x:c r="B20" s="334" t="str">
        <x:v>Paid Social</x:v>
      </x:c>
      <x:c r="C20" s="335" t="n">
        <x:v>12198.932993074428</x:v>
      </x:c>
      <x:c r="D20" s="335" t="n">
        <x:v>-18996.962522023598</x:v>
      </x:c>
      <x:c r="E20" s="336" t="n">
        <x:v>-28.24726069211335</x:v>
      </x:c>
      <x:c r="F20" s="337" t="n">
        <x:v>0.13406593406593406</x:v>
      </x:c>
      <x:c r="G20" s="334" t="str">
        <x:f>IF(D20&lt;-15000,"Critical",IF(D20&lt;-5000,"High",IF(E20&lt;-5,"Medium","Watch")))</x:f>
        <x:v>Critical</x:v>
      </x:c>
      <x:c r="H20" s="334" t="str">
        <x:f>IF(G20="Critical","Act this week",IF(G20="High","Assign owner","Monitor"))</x:f>
        <x:v>Act this week</x:v>
      </x:c>
    </x:row>
    <x:row r="21">
      <x:c r="A21" s="334" t="str">
        <x:v>Category</x:v>
      </x:c>
      <x:c r="B21" s="334" t="str">
        <x:v>Apparel</x:v>
      </x:c>
      <x:c r="C21" s="335" t="n">
        <x:v>2419.8904968537245</x:v>
      </x:c>
      <x:c r="D21" s="335" t="n">
        <x:v>-8840.237504630468</x:v>
      </x:c>
      <x:c r="E21" s="336" t="n">
        <x:v>-13.563717796564637</x:v>
      </x:c>
      <x:c r="F21" s="337" t="n">
        <x:v>0.22424242424242424</x:v>
      </x:c>
      <x:c r="G21" s="334" t="str">
        <x:f>IF(D21&lt;-15000,"Critical",IF(D21&lt;-5000,"High",IF(E21&lt;-5,"Medium","Watch")))</x:f>
        <x:v>High</x:v>
      </x:c>
      <x:c r="H21" s="334" t="str">
        <x:f>IF(G21="Critical","Act this week",IF(G21="High","Assign owner","Monitor"))</x:f>
        <x:v>Assign owner</x:v>
      </x:c>
    </x:row>
    <x:row r="22">
      <x:c r="A22" s="334" t="str">
        <x:v>Category</x:v>
      </x:c>
      <x:c r="B22" s="334" t="str">
        <x:v>Beauty</x:v>
      </x:c>
      <x:c r="C22" s="335" t="n">
        <x:v>4633.050459526741</x:v>
      </x:c>
      <x:c r="D22" s="335" t="n">
        <x:v>-2008.7857983340818</x:v>
      </x:c>
      <x:c r="E22" s="336" t="n">
        <x:v>-9.029266769382199</x:v>
      </x:c>
      <x:c r="F22" s="337" t="n">
        <x:v>0.09082217973231357</x:v>
      </x:c>
      <x:c r="G22" s="334" t="str">
        <x:f>IF(D22&lt;-15000,"Critical",IF(D22&lt;-5000,"High",IF(E22&lt;-5,"Medium","Watch")))</x:f>
        <x:v>Medium</x:v>
      </x:c>
      <x:c r="H22" s="334" t="str">
        <x:f>IF(G22="Critical","Act this week",IF(G22="High","Assign owner","Monitor"))</x:f>
        <x:v>Monitor</x:v>
      </x:c>
    </x:row>
    <x:row r="23">
      <x:c r="A23" s="334" t="str">
        <x:v>Category</x:v>
      </x:c>
      <x:c r="B23" s="334" t="str">
        <x:v>Electronics</x:v>
      </x:c>
      <x:c r="C23" s="335" t="n">
        <x:v>33243.44297751272</x:v>
      </x:c>
      <x:c r="D23" s="335" t="n">
        <x:v>-22730.646307484363</x:v>
      </x:c>
      <x:c r="E23" s="336" t="n">
        <x:v>-11.359887574648294</x:v>
      </x:c>
      <x:c r="F23" s="337" t="n">
        <x:v>0.10512483574244415</x:v>
      </x:c>
      <x:c r="G23" s="334" t="str">
        <x:f>IF(D23&lt;-15000,"Critical",IF(D23&lt;-5000,"High",IF(E23&lt;-5,"Medium","Watch")))</x:f>
        <x:v>Critical</x:v>
      </x:c>
      <x:c r="H23" s="334" t="str">
        <x:f>IF(G23="Critical","Act this week",IF(G23="High","Assign owner","Monitor"))</x:f>
        <x:v>Act this week</x:v>
      </x:c>
    </x:row>
    <x:row r="24">
      <x:c r="A24" s="334" t="str">
        <x:v>Category</x:v>
      </x:c>
      <x:c r="B24" s="334" t="str">
        <x:v>Home</x:v>
      </x:c>
      <x:c r="C24" s="335" t="n">
        <x:v>10251.837023390457</x:v>
      </x:c>
      <x:c r="D24" s="335" t="n">
        <x:v>-12136.117109430896</x:v>
      </x:c>
      <x:c r="E24" s="336" t="n">
        <x:v>-11.74747961442228</x:v>
      </x:c>
      <x:c r="F24" s="337" t="n">
        <x:v>0.09368530020703934</x:v>
      </x:c>
      <x:c r="G24" s="334" t="str">
        <x:f>IF(D24&lt;-15000,"Critical",IF(D24&lt;-5000,"High",IF(E24&lt;-5,"Medium","Watch")))</x:f>
        <x:v>High</x:v>
      </x:c>
      <x:c r="H24" s="334" t="str">
        <x:f>IF(G24="Critical","Act this week",IF(G24="High","Assign owner","Monitor"))</x:f>
        <x:v>Assign owner</x:v>
      </x:c>
    </x:row>
    <x:row r="25">
      <x:c r="A25" s="338" t="str">
        <x:v>Category</x:v>
      </x:c>
      <x:c r="B25" s="338" t="str">
        <x:v>Sports</x:v>
      </x:c>
      <x:c r="C25" s="339" t="n">
        <x:v>15671.376958984227</x:v>
      </x:c>
      <x:c r="D25" s="339" t="n">
        <x:v>-6452.233811860417</x:v>
      </x:c>
      <x:c r="E25" s="340" t="n">
        <x:v>-7.849884234227026</x:v>
      </x:c>
      <x:c r="F25" s="341" t="n">
        <x:v>0.1484375</x:v>
      </x:c>
      <x:c r="G25" s="338" t="str">
        <x:f>IF(D25&lt;-15000,"Critical",IF(D25&lt;-5000,"High",IF(E25&lt;-5,"Medium","Watch")))</x:f>
        <x:v>High</x:v>
      </x:c>
      <x:c r="H25" s="338" t="str">
        <x:f>IF(G25="Critical","Act this week",IF(G25="High","Assign owner","Monitor"))</x:f>
        <x:v>Assign owner</x:v>
      </x:c>
    </x:row>
  </x:sheetData>
  <x:mergeCells>
    <x:mergeCell ref="A1:H2"/>
    <x:mergeCell ref="A3:H3"/>
  </x:mergeCells>
  <x:conditionalFormatting sqref="G5:G25">
    <x:cfRule type="containsText" dxfId="2" priority="1" operator="containsText" text="Critical"/>
    <x:cfRule type="containsText" dxfId="3" priority="2" operator="containsText" text="High"/>
    <x:cfRule type="containsText" dxfId="4" priority="3" operator="containsText" text="Watch"/>
  </x:conditionalFormatting>
  <x:pageMargins left="0.7" right="0.7" top="0.75" bottom="0.75" header="0.3" footer="0.3"/>
  <x:tableParts count="1">
    <x:tablePart xmlns:r="http://schemas.openxmlformats.org/officeDocument/2006/relationships" r:id="R345110328a134d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2" hidden="0" customWidth="1"/>
    <x:col min="4" max="4" width="35" hidden="0" customWidth="1"/>
    <x:col min="5" max="5" width="35" hidden="0" customWidth="1"/>
    <x:col min="6" max="6" width="34" hidden="0" customWidth="1"/>
    <x:col min="7" max="7" width="34" hidden="0" customWidth="1"/>
    <x:col min="8" max="8" width="21" hidden="0" customWidth="1"/>
    <x:col min="9" max="9" width="15" hidden="0" customWidth="1"/>
    <x:col min="10" max="10" width="12" hidden="0" customWidth="1"/>
  </x:cols>
  <x:sheetData>
    <x:row r="1" ht="25" customHeight="1">
      <x:c r="A1" s="238" t="str">
        <x:v>Action Register</x:v>
      </x:c>
      <x:c r="B1" s="238"/>
      <x:c r="C1" s="238"/>
      <x:c r="D1" s="238"/>
      <x:c r="E1" s="238"/>
      <x:c r="F1" s="238"/>
      <x:c r="G1" s="238"/>
      <x:c r="H1" s="238"/>
      <x:c r="I1" s="238"/>
      <x:c r="J1" s="238"/>
    </x:row>
    <x:row r="2" ht="25" customHeight="1">
      <x:c r="A2" s="238"/>
      <x:c r="B2" s="238"/>
      <x:c r="C2" s="238"/>
      <x:c r="D2" s="238"/>
      <x:c r="E2" s="238"/>
      <x:c r="F2" s="238"/>
      <x:c r="G2" s="238"/>
      <x:c r="H2" s="238"/>
      <x:c r="I2" s="238"/>
      <x:c r="J2" s="238"/>
    </x:row>
    <x:row r="3" ht="25" customHeight="1">
      <x:c r="A3" s="239" t="str">
        <x:v>Edit Priority, Owner, and Status using the controlled lists. Progress updates automatically from Status.</x:v>
      </x:c>
      <x:c r="B3" s="239"/>
      <x:c r="C3" s="239"/>
      <x:c r="D3" s="239"/>
      <x:c r="E3" s="239"/>
      <x:c r="F3" s="239"/>
      <x:c r="G3" s="239"/>
      <x:c r="H3" s="239"/>
      <x:c r="I3" s="239"/>
      <x:c r="J3" s="239"/>
    </x:row>
    <x:row r="4" ht="34" customHeight="1">
      <x:c r="A4" s="286" t="str">
        <x:v>Action ID</x:v>
      </x:c>
      <x:c r="B4" s="287" t="str">
        <x:v>Priority</x:v>
      </x:c>
      <x:c r="C4" s="287" t="str">
        <x:v>Owner</x:v>
      </x:c>
      <x:c r="D4" s="287" t="str">
        <x:v>Action</x:v>
      </x:c>
      <x:c r="E4" s="287" t="str">
        <x:v>Evidence</x:v>
      </x:c>
      <x:c r="F4" s="287" t="str">
        <x:v>Expected Impact</x:v>
      </x:c>
      <x:c r="G4" s="287" t="str">
        <x:v>Guardrail</x:v>
      </x:c>
      <x:c r="H4" s="287" t="str">
        <x:v>Review Cadence</x:v>
      </x:c>
      <x:c r="I4" s="287" t="str">
        <x:v>Status</x:v>
      </x:c>
      <x:c r="J4" s="288" t="str">
        <x:v>Progress</x:v>
      </x:c>
    </x:row>
    <x:row r="5" ht="62" customHeight="1">
      <x:c r="A5" s="342" t="str">
        <x:v>ACT-001</x:v>
      </x:c>
      <x:c r="B5" s="342" t="str">
        <x:v>P0</x:v>
      </x:c>
      <x:c r="C5" s="342" t="str">
        <x:v>Commercial Director</x:v>
      </x:c>
      <x:c r="D5" s="343" t="str">
        <x:v>Reprice and cap discounts for Electronics in Paid Search.</x:v>
      </x:c>
      <x:c r="E5" s="343" t="str">
        <x:v>Electronics contribution changed by EUR -22,731 in 2025Q2.</x:v>
      </x:c>
      <x:c r="F5" s="343" t="str">
        <x:v>Recover 1-2 percentage points of contribution margin in the affected mix.</x:v>
      </x:c>
      <x:c r="G5" s="343" t="str">
        <x:v>Orders and 30-day return rate must not worsen by more than 5% relative.</x:v>
      </x:c>
      <x:c r="H5" s="343" t="str">
        <x:v>Weekly for six weeks</x:v>
      </x:c>
      <x:c r="I5" s="342" t="str">
        <x:v>Proposed</x:v>
      </x:c>
      <x:c r="J5" s="344" t="n">
        <x:f>IF(I5="Completed",1,IF(I5="In Progress",0.5,IF(I5="Approved",0.25,0)))</x:f>
        <x:v>0</x:v>
      </x:c>
    </x:row>
    <x:row r="6" ht="62" customHeight="1">
      <x:c r="A6" s="345" t="str">
        <x:v>ACT-002</x:v>
      </x:c>
      <x:c r="B6" s="345" t="str">
        <x:v>P0</x:v>
      </x:c>
      <x:c r="C6" s="345" t="str">
        <x:v>Operations Director</x:v>
      </x:c>
      <x:c r="D6" s="346" t="str">
        <x:v>Launch a delivery-SLA recovery plan for DE and the North hub.</x:v>
      </x:c>
      <x:c r="E6" s="346" t="str">
        <x:v>DE contribution changed by EUR -18,406; late delivery is an explicit return driver.</x:v>
      </x:c>
      <x:c r="F6" s="346" t="str">
        <x:v>Improve on-time rate toward 94% and reduce late-delivery returns.</x:v>
      </x:c>
      <x:c r="G6" s="346" t="str">
        <x:v>Shipping cost per fulfilled order may rise by at most EUR 0.50.</x:v>
      </x:c>
      <x:c r="H6" s="346" t="str">
        <x:v>Weekly operations review</x:v>
      </x:c>
      <x:c r="I6" s="345" t="str">
        <x:v>Proposed</x:v>
      </x:c>
      <x:c r="J6" s="347" t="n">
        <x:f>IF(I6="Completed",1,IF(I6="In Progress",0.5,IF(I6="Approved",0.25,0)))</x:f>
        <x:v>0</x:v>
      </x:c>
    </x:row>
    <x:row r="7" ht="62" customHeight="1">
      <x:c r="A7" s="345" t="str">
        <x:v>ACT-003</x:v>
      </x:c>
      <x:c r="B7" s="345" t="str">
        <x:v>P1</x:v>
      </x:c>
      <x:c r="C7" s="345" t="str">
        <x:v>Head of E-commerce</x:v>
      </x:c>
      <x:c r="D7" s="346" t="str">
        <x:v>Prioritize mobile performance remediation in Sweden and the United Kingdom.</x:v>
      </x:c>
      <x:c r="E7" s="346" t="str">
        <x:v>Current-quarter mobile load averages 1,487 ms with 13.4% conversion in those markets.</x:v>
      </x:c>
      <x:c r="F7" s="346" t="str">
        <x:v>Improve checkout completion and conversion without increasing media spend.</x:v>
      </x:c>
      <x:c r="G7" s="346" t="str">
        <x:v>Track conversion with Wilson confidence intervals; avoid causal claims without an experiment.</x:v>
      </x:c>
      <x:c r="H7" s="346" t="str">
        <x:v>Biweekly product review</x:v>
      </x:c>
      <x:c r="I7" s="345" t="str">
        <x:v>Proposed</x:v>
      </x:c>
      <x:c r="J7" s="347" t="n">
        <x:f>IF(I7="Completed",1,IF(I7="In Progress",0.5,IF(I7="Approved",0.25,0)))</x:f>
        <x:v>0</x:v>
      </x:c>
    </x:row>
    <x:row r="8" ht="62" customHeight="1">
      <x:c r="A8" s="348" t="str">
        <x:v>ACT-004</x:v>
      </x:c>
      <x:c r="B8" s="348" t="str">
        <x:v>P1</x:v>
      </x:c>
      <x:c r="C8" s="348" t="str">
        <x:v>Inventory Planning Lead</x:v>
      </x:c>
      <x:c r="D8" s="349" t="str">
        <x:v>Raise reorder coverage for Electronics in DE.</x:v>
      </x:c>
      <x:c r="E8" s="349" t="str">
        <x:v>Estimated lost revenue is EUR 16,884 with a 11.1% snapshot stockout rate.</x:v>
      </x:c>
      <x:c r="F8" s="349" t="str">
        <x:v>Recover lost units while limiting excess inventory.</x:v>
      </x:c>
      <x:c r="G8" s="349" t="str">
        <x:v>Monitor days of supply and aged stock alongside stockout rate.</x:v>
      </x:c>
      <x:c r="H8" s="349" t="str">
        <x:v>Monthly S&amp;OP</x:v>
      </x:c>
      <x:c r="I8" s="348" t="str">
        <x:v>Proposed</x:v>
      </x:c>
      <x:c r="J8" s="350" t="n">
        <x:f>IF(I8="Completed",1,IF(I8="In Progress",0.5,IF(I8="Approved",0.25,0)))</x:f>
        <x:v>0</x:v>
      </x:c>
    </x:row>
  </x:sheetData>
  <x:mergeCells>
    <x:mergeCell ref="A1:J2"/>
    <x:mergeCell ref="A3:J3"/>
  </x:mergeCells>
  <x:conditionalFormatting sqref="J5:J8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{F4479644-727A-B0C6-92E5-54CB0BCFFF2E}</x14:id>
        </x:ext>
      </x:extLst>
    </x:cfRule>
  </x:conditionalFormatting>
  <x:dataValidations count="3">
    <x:dataValidation type="list" sqref="B5:B8">
      <x:formula1>"P0,P1,P2"</x:formula1>
    </x:dataValidation>
    <x:dataValidation type="list" sqref="C5:C8">
      <x:formula1>"Commercial Director,Operations Director,Head of E-commerce,Inventory Planning Lead,Finance Director"</x:formula1>
    </x:dataValidation>
    <x:dataValidation type="list" sqref="I5:I8">
      <x:formula1>"Proposed,Approved,In Progress,Blocked,Completed,Deferred"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3b03482339441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4479644-727A-B0C6-92E5-54CB0BCFFF2E}">
            <x14:dataBar gradient="1">
              <x14:cfvo type="min"/>
              <x14:cfvo type="max"/>
              <x14:fillColor rgb="FF0F766E"/>
            </x14:dataBar>
          </x14:cfRule>
          <xm:sqref>J5:J8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36" hidden="0" customWidth="1"/>
    <x:col min="7" max="7" width="13" hidden="0" customWidth="1"/>
    <x:col min="8" max="8" width="3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5" customHeight="1">
      <x:c r="A1" s="238" t="str">
        <x:v>Net Revenue Forecast</x:v>
      </x:c>
      <x:c r="B1" s="238"/>
      <x:c r="C1" s="238"/>
      <x:c r="D1" s="238"/>
      <x:c r="E1" s="238"/>
      <x:c r="F1" s="238"/>
      <x:c r="G1" s="238"/>
      <x:c r="H1" s="238"/>
      <x:c r="I1" s="238"/>
      <x:c r="J1" s="238"/>
      <x:c r="K1" s="238"/>
      <x:c r="L1" s="238"/>
      <x:c r="M1" s="238"/>
      <x:c r="N1" s="238"/>
    </x:row>
    <x:row r="2" ht="25" customHeight="1">
      <x:c r="A2" s="238"/>
      <x:c r="B2" s="238"/>
      <x:c r="C2" s="238"/>
      <x:c r="D2" s="238"/>
      <x:c r="E2" s="238"/>
      <x:c r="F2" s="238"/>
      <x:c r="G2" s="238"/>
      <x:c r="H2" s="238"/>
      <x:c r="I2" s="238"/>
      <x:c r="J2" s="238"/>
      <x:c r="K2" s="238"/>
      <x:c r="L2" s="238"/>
      <x:c r="M2" s="238"/>
      <x:c r="N2" s="238"/>
    </x:row>
    <x:row r="3" ht="25" customHeight="1">
      <x:c r="A3" s="239" t="str">
        <x:v>Benchmark forecast with 95% interval. Treat the interval as planning uncertainty, not a commitment.</x:v>
      </x:c>
      <x:c r="B3" s="239"/>
      <x:c r="C3" s="239"/>
      <x:c r="D3" s="239"/>
      <x:c r="E3" s="239"/>
      <x:c r="F3" s="239"/>
      <x:c r="G3" s="239"/>
      <x:c r="H3" s="239"/>
      <x:c r="I3" s="239"/>
      <x:c r="J3" s="239"/>
      <x:c r="K3" s="239"/>
      <x:c r="L3" s="239"/>
      <x:c r="M3" s="239"/>
      <x:c r="N3" s="239"/>
    </x:row>
    <x:row r="4" ht="34" customHeight="1">
      <x:c r="A4" s="286" t="str">
        <x:v>Month</x:v>
      </x:c>
      <x:c r="B4" s="287" t="str">
        <x:v>Forecast</x:v>
      </x:c>
      <x:c r="C4" s="287" t="str">
        <x:v>Lower 95%</x:v>
      </x:c>
      <x:c r="D4" s="287" t="str">
        <x:v>Upper 95%</x:v>
      </x:c>
      <x:c r="E4" s="287" t="str">
        <x:v>Interval Width</x:v>
      </x:c>
      <x:c r="F4" s="287" t="str">
        <x:v>Model</x:v>
      </x:c>
      <x:c r="G4" s="288" t="str">
        <x:v>Risk Flag</x:v>
      </x:c>
      <x:c r="H4" s="240"/>
      <x:c r="I4" s="240"/>
      <x:c r="J4" s="240"/>
      <x:c r="K4" s="240"/>
      <x:c r="L4" s="240"/>
      <x:c r="M4" s="240"/>
      <x:c r="N4" s="240"/>
    </x:row>
    <x:row r="5">
      <x:c r="A5" s="351" t="n">
        <x:v>45839</x:v>
      </x:c>
      <x:c r="B5" s="289" t="n">
        <x:v>173756.29894419966</x:v>
      </x:c>
      <x:c r="C5" s="289" t="n">
        <x:v>151739.76537047955</x:v>
      </x:c>
      <x:c r="D5" s="289" t="n">
        <x:v>195772.83251791977</x:v>
      </x:c>
      <x:c r="E5" s="289" t="n">
        <x:f>D5-C5</x:f>
        <x:v>44033.06714744022</x:v>
      </x:c>
      <x:c r="F5" s="240" t="str">
        <x:v>OLS trend plus annual sine/cosine terms</x:v>
      </x:c>
      <x:c r="G5" s="240" t="str">
        <x:f>IF(B5=0,"Review",IF(E5/B5&gt;0.35,"Wide","Controlled"))</x:f>
        <x:v>Controlled</x:v>
      </x:c>
      <x:c r="H5" s="240"/>
      <x:c r="I5" s="240"/>
      <x:c r="J5" s="240"/>
      <x:c r="K5" s="240"/>
      <x:c r="L5" s="240"/>
      <x:c r="M5" s="240"/>
      <x:c r="N5" s="240"/>
    </x:row>
    <x:row r="6">
      <x:c r="A6" s="351" t="n">
        <x:v>45870</x:v>
      </x:c>
      <x:c r="B6" s="289" t="n">
        <x:v>151707.8588680811</x:v>
      </x:c>
      <x:c r="C6" s="289" t="n">
        <x:v>129691.325294361</x:v>
      </x:c>
      <x:c r="D6" s="289" t="n">
        <x:v>173724.3924418012</x:v>
      </x:c>
      <x:c r="E6" s="289" t="n">
        <x:f>D6-C6</x:f>
        <x:v>44033.067147440204</x:v>
      </x:c>
      <x:c r="F6" s="240" t="str">
        <x:v>OLS trend plus annual sine/cosine terms</x:v>
      </x:c>
      <x:c r="G6" s="240" t="str">
        <x:f>IF(B6=0,"Review",IF(E6/B6&gt;0.35,"Wide","Controlled"))</x:f>
        <x:v>Controlled</x:v>
      </x:c>
      <x:c r="H6" s="240"/>
      <x:c r="I6" s="240"/>
      <x:c r="J6" s="240"/>
      <x:c r="K6" s="240"/>
      <x:c r="L6" s="240"/>
      <x:c r="M6" s="240"/>
      <x:c r="N6" s="240"/>
    </x:row>
    <x:row r="7">
      <x:c r="A7" s="351" t="n">
        <x:v>45901</x:v>
      </x:c>
      <x:c r="B7" s="289" t="n">
        <x:v>129284.04174222813</x:v>
      </x:c>
      <x:c r="C7" s="289" t="n">
        <x:v>107267.50816850804</x:v>
      </x:c>
      <x:c r="D7" s="289" t="n">
        <x:v>151300.57531594823</x:v>
      </x:c>
      <x:c r="E7" s="289" t="n">
        <x:f>D7-C7</x:f>
        <x:v>44033.06714744019</x:v>
      </x:c>
      <x:c r="F7" s="240" t="str">
        <x:v>OLS trend plus annual sine/cosine terms</x:v>
      </x:c>
      <x:c r="G7" s="240" t="str">
        <x:f>IF(B7=0,"Review",IF(E7/B7&gt;0.35,"Wide","Controlled"))</x:f>
        <x:v>Controlled</x:v>
      </x:c>
      <x:c r="H7" s="240"/>
      <x:c r="I7" s="240"/>
      <x:c r="J7" s="240"/>
      <x:c r="K7" s="240"/>
      <x:c r="L7" s="240"/>
      <x:c r="M7" s="240"/>
      <x:c r="N7" s="240"/>
    </x:row>
    <x:row r="8">
      <x:c r="A8" s="240"/>
      <x:c r="B8" s="240"/>
      <x:c r="C8" s="240"/>
      <x:c r="D8" s="240"/>
      <x:c r="E8" s="240"/>
      <x:c r="F8" s="240"/>
      <x:c r="G8" s="240"/>
      <x:c r="H8" s="240"/>
      <x:c r="I8" s="240"/>
      <x:c r="J8" s="240"/>
      <x:c r="K8" s="240"/>
      <x:c r="L8" s="240"/>
      <x:c r="M8" s="240"/>
      <x:c r="N8" s="240"/>
    </x:row>
    <x:row r="9">
      <x:c r="A9" s="240"/>
      <x:c r="B9" s="240"/>
      <x:c r="C9" s="240"/>
      <x:c r="D9" s="240"/>
      <x:c r="E9" s="240"/>
      <x:c r="F9" s="240"/>
      <x:c r="G9" s="240"/>
      <x:c r="H9" s="240"/>
      <x:c r="I9" s="240"/>
      <x:c r="J9" s="240"/>
      <x:c r="K9" s="240"/>
      <x:c r="L9" s="240"/>
      <x:c r="M9" s="240"/>
      <x:c r="N9" s="240"/>
    </x:row>
    <x:row r="10">
      <x:c r="A10" s="291" t="str">
        <x:v>Backtest diagnostics</x:v>
      </x:c>
      <x:c r="B10" s="292"/>
      <x:c r="C10" s="292"/>
      <x:c r="D10" s="292"/>
      <x:c r="E10" s="292"/>
      <x:c r="F10" s="292"/>
      <x:c r="G10" s="293"/>
      <x:c r="H10" s="240"/>
      <x:c r="I10" s="240"/>
      <x:c r="J10" s="240"/>
      <x:c r="K10" s="240"/>
      <x:c r="L10" s="240"/>
      <x:c r="M10" s="240"/>
      <x:c r="N10" s="240"/>
    </x:row>
    <x:row r="11">
      <x:c r="A11" s="352" t="str">
        <x:v>Method</x:v>
      </x:c>
      <x:c r="B11" s="240" t="str">
        <x:v>Linear trend benchmark</x:v>
      </x:c>
      <x:c r="C11" s="240"/>
      <x:c r="D11" s="240"/>
      <x:c r="E11" s="240"/>
      <x:c r="F11" s="240"/>
      <x:c r="G11" s="240"/>
      <x:c r="H11" s="240"/>
      <x:c r="I11" s="240"/>
      <x:c r="J11" s="240"/>
      <x:c r="K11" s="240"/>
      <x:c r="L11" s="240"/>
      <x:c r="M11" s="240"/>
      <x:c r="N11" s="240"/>
    </x:row>
    <x:row r="12">
      <x:c r="A12" s="352" t="str">
        <x:v>Holdout months</x:v>
      </x:c>
      <x:c r="B12" s="240" t="n">
        <x:v>1</x:v>
      </x:c>
      <x:c r="C12" s="240"/>
      <x:c r="D12" s="240"/>
      <x:c r="E12" s="240"/>
      <x:c r="F12" s="240"/>
      <x:c r="G12" s="240"/>
      <x:c r="H12" s="240"/>
      <x:c r="I12" s="240"/>
      <x:c r="J12" s="240"/>
      <x:c r="K12" s="240"/>
      <x:c r="L12" s="240"/>
      <x:c r="M12" s="240"/>
      <x:c r="N12" s="240"/>
    </x:row>
    <x:row r="13">
      <x:c r="A13" s="352" t="str">
        <x:v>WAPE</x:v>
      </x:c>
      <x:c r="B13" s="290" t="n">
        <x:v>0.09854843447326984</x:v>
      </x:c>
      <x:c r="C13" s="240"/>
      <x:c r="D13" s="240"/>
      <x:c r="E13" s="240"/>
      <x:c r="F13" s="240"/>
      <x:c r="G13" s="240"/>
      <x:c r="H13" s="240"/>
      <x:c r="I13" s="240"/>
      <x:c r="J13" s="240"/>
      <x:c r="K13" s="240"/>
      <x:c r="L13" s="240"/>
      <x:c r="M13" s="240"/>
      <x:c r="N13" s="240"/>
    </x:row>
    <x:row r="14">
      <x:c r="A14" s="352" t="str">
        <x:v>Bias</x:v>
      </x:c>
      <x:c r="B14" s="290" t="n">
        <x:v>-0.09854843447326984</x:v>
      </x:c>
      <x:c r="C14" s="240"/>
      <x:c r="D14" s="240"/>
      <x:c r="E14" s="240"/>
      <x:c r="F14" s="240"/>
      <x:c r="G14" s="240"/>
      <x:c r="H14" s="240"/>
      <x:c r="I14" s="240"/>
      <x:c r="J14" s="240"/>
      <x:c r="K14" s="240"/>
      <x:c r="L14" s="240"/>
      <x:c r="M14" s="240"/>
      <x:c r="N14" s="240"/>
    </x:row>
    <x:row r="15">
      <x:c r="A15" s="240"/>
      <x:c r="B15" s="240"/>
      <x:c r="C15" s="240"/>
      <x:c r="D15" s="240"/>
      <x:c r="E15" s="240"/>
      <x:c r="F15" s="240"/>
      <x:c r="G15" s="240"/>
      <x:c r="H15" s="240"/>
      <x:c r="I15" s="240"/>
      <x:c r="J15" s="240"/>
      <x:c r="K15" s="240"/>
      <x:c r="L15" s="240"/>
      <x:c r="M15" s="240"/>
      <x:c r="N15" s="240"/>
    </x:row>
    <x:row r="16">
      <x:c r="A16" s="240"/>
      <x:c r="B16" s="240"/>
      <x:c r="C16" s="240"/>
      <x:c r="D16" s="240"/>
      <x:c r="E16" s="240"/>
      <x:c r="F16" s="240"/>
      <x:c r="G16" s="240"/>
      <x:c r="H16" s="240"/>
      <x:c r="I16" s="240"/>
      <x:c r="J16" s="240"/>
      <x:c r="K16" s="240"/>
      <x:c r="L16" s="240"/>
      <x:c r="M16" s="240"/>
      <x:c r="N16" s="240"/>
    </x:row>
    <x:row r="17">
      <x:c r="A17" s="240"/>
      <x:c r="B17" s="240"/>
      <x:c r="C17" s="240"/>
      <x:c r="D17" s="240"/>
      <x:c r="E17" s="240"/>
      <x:c r="F17" s="240"/>
      <x:c r="G17" s="240"/>
      <x:c r="H17" s="240"/>
      <x:c r="I17" s="240"/>
      <x:c r="J17" s="240"/>
      <x:c r="K17" s="240"/>
      <x:c r="L17" s="240"/>
      <x:c r="M17" s="240"/>
      <x:c r="N17" s="240"/>
    </x:row>
    <x:row r="18">
      <x:c r="A18" s="240"/>
      <x:c r="B18" s="240"/>
      <x:c r="C18" s="240"/>
      <x:c r="D18" s="240"/>
      <x:c r="E18" s="240"/>
      <x:c r="F18" s="240"/>
      <x:c r="G18" s="240"/>
      <x:c r="H18" s="240"/>
      <x:c r="I18" s="240" t="str">
        <x:v>Month</x:v>
      </x:c>
      <x:c r="J18" s="240" t="str">
        <x:v>Forecast</x:v>
      </x:c>
      <x:c r="K18" s="240" t="str">
        <x:v>Lower 95%</x:v>
      </x:c>
      <x:c r="L18" s="240" t="str">
        <x:v>Upper 95%</x:v>
      </x:c>
      <x:c r="M18" s="240"/>
      <x:c r="N18" s="240"/>
    </x:row>
    <x:row r="19">
      <x:c r="A19" s="240"/>
      <x:c r="B19" s="240"/>
      <x:c r="C19" s="240"/>
      <x:c r="D19" s="240"/>
      <x:c r="E19" s="240"/>
      <x:c r="F19" s="240"/>
      <x:c r="G19" s="240"/>
      <x:c r="H19" s="240"/>
      <x:c r="I19" s="240" t="str">
        <x:f>TEXT(A5,"mmm yy")</x:f>
        <x:v>Jul 25</x:v>
      </x:c>
      <x:c r="J19" s="240" t="n">
        <x:f>B5</x:f>
        <x:v>173756.29894419966</x:v>
      </x:c>
      <x:c r="K19" s="240" t="n">
        <x:f>C5</x:f>
        <x:v>151739.76537047955</x:v>
      </x:c>
      <x:c r="L19" s="240" t="n">
        <x:f>D5</x:f>
        <x:v>195772.83251791977</x:v>
      </x:c>
      <x:c r="M19" s="240"/>
      <x:c r="N19" s="240"/>
    </x:row>
    <x:row r="20">
      <x:c r="A20" s="240"/>
      <x:c r="B20" s="240"/>
      <x:c r="C20" s="240"/>
      <x:c r="D20" s="240"/>
      <x:c r="E20" s="240"/>
      <x:c r="F20" s="240"/>
      <x:c r="G20" s="240"/>
      <x:c r="H20" s="240"/>
      <x:c r="I20" s="240" t="str">
        <x:f>TEXT(A6,"mmm yy")</x:f>
        <x:v>Aug 25</x:v>
      </x:c>
      <x:c r="J20" s="240" t="n">
        <x:f>B6</x:f>
        <x:v>151707.8588680811</x:v>
      </x:c>
      <x:c r="K20" s="240" t="n">
        <x:f>C6</x:f>
        <x:v>129691.325294361</x:v>
      </x:c>
      <x:c r="L20" s="240" t="n">
        <x:f>D6</x:f>
        <x:v>173724.3924418012</x:v>
      </x:c>
      <x:c r="M20" s="240"/>
      <x:c r="N20" s="240"/>
    </x:row>
    <x:row r="21">
      <x:c r="A21" s="240"/>
      <x:c r="B21" s="240"/>
      <x:c r="C21" s="240"/>
      <x:c r="D21" s="240"/>
      <x:c r="E21" s="240"/>
      <x:c r="F21" s="240"/>
      <x:c r="G21" s="240"/>
      <x:c r="H21" s="240"/>
      <x:c r="I21" s="240" t="str">
        <x:f>TEXT(A7,"mmm yy")</x:f>
        <x:v>Sep 25</x:v>
      </x:c>
      <x:c r="J21" s="240" t="n">
        <x:f>B7</x:f>
        <x:v>129284.04174222813</x:v>
      </x:c>
      <x:c r="K21" s="240" t="n">
        <x:f>C7</x:f>
        <x:v>107267.50816850804</x:v>
      </x:c>
      <x:c r="L21" s="240" t="n">
        <x:f>D7</x:f>
        <x:v>151300.57531594823</x:v>
      </x:c>
      <x:c r="M21" s="240"/>
      <x:c r="N21" s="240"/>
    </x:row>
  </x:sheetData>
  <x:mergeCells>
    <x:mergeCell ref="A1:N2"/>
    <x:mergeCell ref="A3:N3"/>
    <x:mergeCell ref="A10:G10"/>
  </x:mergeCells>
  <x:conditionalFormatting sqref="G5:G7">
    <x:cfRule type="containsText" dxfId="5" priority="1" operator="containsText" text="Critical"/>
    <x:cfRule type="containsText" dxfId="6" priority="2" operator="containsText" text="High"/>
    <x:cfRule type="containsText" dxfId="7" priority="3" operator="containsText" text="Watch"/>
  </x:conditionalFormatting>
  <x:pageMargins left="0.7" right="0.7" top="0.75" bottom="0.75" header="0.3" footer="0.3"/>
  <x:drawing xmlns:r="http://schemas.openxmlformats.org/officeDocument/2006/relationships" r:id="Rb2bdfd4fa7544f9c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54" hidden="0" customWidth="1"/>
    <x:col min="4" max="4" width="22" hidden="0" customWidth="1"/>
    <x:col min="5" max="5" width="18" hidden="0" customWidth="1"/>
    <x:col min="6" max="6" width="13" hidden="0" customWidth="1"/>
    <x:col min="7" max="7" width="24" hidden="0" customWidth="1"/>
  </x:cols>
  <x:sheetData>
    <x:row r="1" ht="25" customHeight="1">
      <x:c r="A1" s="238" t="str">
        <x:v>KPI Definitions</x:v>
      </x:c>
      <x:c r="B1" s="238"/>
      <x:c r="C1" s="238"/>
      <x:c r="D1" s="238"/>
      <x:c r="E1" s="238"/>
      <x:c r="F1" s="238"/>
      <x:c r="G1" s="238"/>
    </x:row>
    <x:row r="2" ht="25" customHeight="1">
      <x:c r="A2" s="238"/>
      <x:c r="B2" s="238"/>
      <x:c r="C2" s="238"/>
      <x:c r="D2" s="238"/>
      <x:c r="E2" s="238"/>
      <x:c r="F2" s="238"/>
      <x:c r="G2" s="238"/>
    </x:row>
    <x:row r="3" ht="25" customHeight="1">
      <x:c r="A3" s="239" t="str">
        <x:v>One governed definition per metric. Formula text mirrors the SQL/dbt, Python, Power BI, and Excel implementations.</x:v>
      </x:c>
      <x:c r="B3" s="239"/>
      <x:c r="C3" s="239"/>
      <x:c r="D3" s="239"/>
      <x:c r="E3" s="239"/>
      <x:c r="F3" s="239"/>
      <x:c r="G3" s="239"/>
    </x:row>
    <x:row r="4" ht="34" customHeight="1">
      <x:c r="A4" s="286" t="str">
        <x:v>KPI</x:v>
      </x:c>
      <x:c r="B4" s="287" t="str">
        <x:v>Business Definition</x:v>
      </x:c>
      <x:c r="C4" s="287" t="str">
        <x:v>Formula</x:v>
      </x:c>
      <x:c r="D4" s="287" t="str">
        <x:v>Grain</x:v>
      </x:c>
      <x:c r="E4" s="287" t="str">
        <x:v>Owner</x:v>
      </x:c>
      <x:c r="F4" s="287" t="str">
        <x:v>Direction</x:v>
      </x:c>
      <x:c r="G4" s="288" t="str">
        <x:v>Management Threshold</x:v>
      </x:c>
    </x:row>
    <x:row r="5" ht="48" customHeight="1">
      <x:c r="A5" s="353" t="str">
        <x:v>Net Revenue</x:v>
      </x:c>
      <x:c r="B5" s="343" t="str">
        <x:v>Completed-order revenue after discounts and refunded amount.</x:v>
      </x:c>
      <x:c r="C5" s="343" t="str">
        <x:v>=Gross Revenue - Discounts - Refunds</x:v>
      </x:c>
      <x:c r="D5" s="343" t="str">
        <x:v>Order item → month</x:v>
      </x:c>
      <x:c r="E5" s="343" t="str">
        <x:v>Finance</x:v>
      </x:c>
      <x:c r="F5" s="343" t="str">
        <x:v>Higher</x:v>
      </x:c>
      <x:c r="G5" s="343" t="str">
        <x:v>Meet or exceed target</x:v>
      </x:c>
    </x:row>
    <x:row r="6" ht="48" customHeight="1">
      <x:c r="A6" s="354" t="str">
        <x:v>Contribution Margin</x:v>
      </x:c>
      <x:c r="B6" s="346" t="str">
        <x:v>Net revenue after variable product, return, fulfillment, and allocated marketing cost.</x:v>
      </x:c>
      <x:c r="C6" s="346" t="str">
        <x:v>=Net Revenue - COGS + Recovered COGS - Return Handling - Fulfillment - Marketing</x:v>
      </x:c>
      <x:c r="D6" s="346" t="str">
        <x:v>Order item → month</x:v>
      </x:c>
      <x:c r="E6" s="346" t="str">
        <x:v>Finance</x:v>
      </x:c>
      <x:c r="F6" s="346" t="str">
        <x:v>Higher</x:v>
      </x:c>
      <x:c r="G6" s="346" t="str">
        <x:v>&gt;= target</x:v>
      </x:c>
    </x:row>
    <x:row r="7" ht="48" customHeight="1">
      <x:c r="A7" s="354" t="str">
        <x:v>Contribution Margin Rate</x:v>
      </x:c>
      <x:c r="B7" s="346" t="str">
        <x:v>Share of net revenue retained as contribution margin.</x:v>
      </x:c>
      <x:c r="C7" s="346" t="str">
        <x:v>=Contribution Margin / Net Revenue</x:v>
      </x:c>
      <x:c r="D7" s="346" t="str">
        <x:v>Month</x:v>
      </x:c>
      <x:c r="E7" s="346" t="str">
        <x:v>Finance</x:v>
      </x:c>
      <x:c r="F7" s="346" t="str">
        <x:v>Higher</x:v>
      </x:c>
      <x:c r="G7" s="346" t="str">
        <x:v>&gt;= 15%</x:v>
      </x:c>
    </x:row>
    <x:row r="8" ht="48" customHeight="1">
      <x:c r="A8" s="354" t="str">
        <x:v>Conversion Rate</x:v>
      </x:c>
      <x:c r="B8" s="346" t="str">
        <x:v>Share of valid sessions that reached purchase completion.</x:v>
      </x:c>
      <x:c r="C8" s="346" t="str">
        <x:v>=Converted Sessions / Sessions</x:v>
      </x:c>
      <x:c r="D8" s="346" t="str">
        <x:v>Session → month</x:v>
      </x:c>
      <x:c r="E8" s="346" t="str">
        <x:v>E-commerce</x:v>
      </x:c>
      <x:c r="F8" s="346" t="str">
        <x:v>Higher</x:v>
      </x:c>
      <x:c r="G8" s="346" t="str">
        <x:v>Monitor with Wilson CI</x:v>
      </x:c>
    </x:row>
    <x:row r="9" ht="48" customHeight="1">
      <x:c r="A9" s="354" t="str">
        <x:v>Return Rate</x:v>
      </x:c>
      <x:c r="B9" s="346" t="str">
        <x:v>Returned units as a share of sold units.</x:v>
      </x:c>
      <x:c r="C9" s="346" t="str">
        <x:v>=Units Returned / Units Sold</x:v>
      </x:c>
      <x:c r="D9" s="346" t="str">
        <x:v>Order item → month</x:v>
      </x:c>
      <x:c r="E9" s="346" t="str">
        <x:v>Operations</x:v>
      </x:c>
      <x:c r="F9" s="346" t="str">
        <x:v>Lower</x:v>
      </x:c>
      <x:c r="G9" s="346" t="str">
        <x:v>&lt;= 10%</x:v>
      </x:c>
    </x:row>
    <x:row r="10" ht="48" customHeight="1">
      <x:c r="A10" s="354" t="str">
        <x:v>On-Time Delivery Rate</x:v>
      </x:c>
      <x:c r="B10" s="346" t="str">
        <x:v>Fulfilled orders delivered on or before the promised date.</x:v>
      </x:c>
      <x:c r="C10" s="346" t="str">
        <x:v>=On-Time Orders / Fulfilled Orders</x:v>
      </x:c>
      <x:c r="D10" s="346" t="str">
        <x:v>Order → month</x:v>
      </x:c>
      <x:c r="E10" s="346" t="str">
        <x:v>Operations</x:v>
      </x:c>
      <x:c r="F10" s="346" t="str">
        <x:v>Higher</x:v>
      </x:c>
      <x:c r="G10" s="346" t="str">
        <x:v>&gt;= 94%</x:v>
      </x:c>
    </x:row>
    <x:row r="11" ht="48" customHeight="1">
      <x:c r="A11" s="354" t="str">
        <x:v>Marketing ROAS</x:v>
      </x:c>
      <x:c r="B11" s="346" t="str">
        <x:v>Last-touch net revenue per euro of allocated marketing spend.</x:v>
      </x:c>
      <x:c r="C11" s="346" t="str">
        <x:v>=Net Revenue / Marketing Spend</x:v>
      </x:c>
      <x:c r="D11" s="346" t="str">
        <x:v>Month × market × channel</x:v>
      </x:c>
      <x:c r="E11" s="346" t="str">
        <x:v>Marketing</x:v>
      </x:c>
      <x:c r="F11" s="346" t="str">
        <x:v>Higher</x:v>
      </x:c>
      <x:c r="G11" s="346" t="str">
        <x:v>&gt;= 5.0x</x:v>
      </x:c>
    </x:row>
    <x:row r="12" ht="48" customHeight="1">
      <x:c r="A12" s="354" t="str">
        <x:v>AOV</x:v>
      </x:c>
      <x:c r="B12" s="346" t="str">
        <x:v>Net revenue per completed order.</x:v>
      </x:c>
      <x:c r="C12" s="346" t="str">
        <x:v>=Net Revenue / Orders</x:v>
      </x:c>
      <x:c r="D12" s="346" t="str">
        <x:v>Month</x:v>
      </x:c>
      <x:c r="E12" s="346" t="str">
        <x:v>Commercial</x:v>
      </x:c>
      <x:c r="F12" s="346" t="str">
        <x:v>Higher</x:v>
      </x:c>
      <x:c r="G12" s="346" t="str">
        <x:v>Contextual</x:v>
      </x:c>
    </x:row>
    <x:row r="13" ht="48" customHeight="1">
      <x:c r="A13" s="354" t="str">
        <x:v>Stockout Rate</x:v>
      </x:c>
      <x:c r="B13" s="346" t="str">
        <x:v>Inventory snapshots with zero available stock as a share of snapshots.</x:v>
      </x:c>
      <x:c r="C13" s="346" t="str">
        <x:v>=Stockout Snapshots / Inventory Snapshots</x:v>
      </x:c>
      <x:c r="D13" s="346" t="str">
        <x:v>Product × snapshot</x:v>
      </x:c>
      <x:c r="E13" s="346" t="str">
        <x:v>Supply Chain</x:v>
      </x:c>
      <x:c r="F13" s="346" t="str">
        <x:v>Lower</x:v>
      </x:c>
      <x:c r="G13" s="346" t="str">
        <x:v>&lt;= 5%</x:v>
      </x:c>
    </x:row>
    <x:row r="14" ht="48" customHeight="1">
      <x:c r="A14" s="354" t="str">
        <x:v>Revenue Target Attainment</x:v>
      </x:c>
      <x:c r="B14" s="346" t="str">
        <x:v>Actual net revenue divided by governed revenue target.</x:v>
      </x:c>
      <x:c r="C14" s="346" t="str">
        <x:v>=Net Revenue / Revenue Target</x:v>
      </x:c>
      <x:c r="D14" s="346" t="str">
        <x:v>Month × market × channel</x:v>
      </x:c>
      <x:c r="E14" s="346" t="str">
        <x:v>Finance</x:v>
      </x:c>
      <x:c r="F14" s="346" t="str">
        <x:v>Higher</x:v>
      </x:c>
      <x:c r="G14" s="346" t="str">
        <x:v>&gt;= 100%</x:v>
      </x:c>
    </x:row>
    <x:row r="15" ht="48" customHeight="1">
      <x:c r="A15" s="354" t="str">
        <x:v>Repeat Purchase Rate</x:v>
      </x:c>
      <x:c r="B15" s="346" t="str">
        <x:v>Customers with two or more completed orders divided by purchasing customers.</x:v>
      </x:c>
      <x:c r="C15" s="346" t="str">
        <x:v>=Repeat Customers / Purchasing Customers</x:v>
      </x:c>
      <x:c r="D15" s="346" t="str">
        <x:v>Customer</x:v>
      </x:c>
      <x:c r="E15" s="346" t="str">
        <x:v>CRM</x:v>
      </x:c>
      <x:c r="F15" s="346" t="str">
        <x:v>Higher</x:v>
      </x:c>
      <x:c r="G15" s="346" t="str">
        <x:v>Trend</x:v>
      </x:c>
    </x:row>
    <x:row r="16" ht="48" customHeight="1">
      <x:c r="A16" s="355" t="str">
        <x:v>Marketing Allocation Coverage</x:v>
      </x:c>
      <x:c r="B16" s="349" t="str">
        <x:v>Direct spend allocated to completed order-item profitability.</x:v>
      </x:c>
      <x:c r="C16" s="349" t="str">
        <x:v>=Allocated Spend / Direct Spend</x:v>
      </x:c>
      <x:c r="D16" s="349" t="str">
        <x:v>Portfolio</x:v>
      </x:c>
      <x:c r="E16" s="349" t="str">
        <x:v>Finance</x:v>
      </x:c>
      <x:c r="F16" s="349" t="str">
        <x:v>Higher</x:v>
      </x:c>
      <x:c r="G16" s="349" t="str">
        <x:v>100%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6876d3d735e147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48" hidden="0" customWidth="1"/>
    <x:col min="4" max="4" width="34" hidden="0" customWidth="1"/>
    <x:col min="5" max="5" width="38" hidden="0" customWidth="1"/>
    <x:col min="6" max="6" width="52" hidden="0" customWidth="1"/>
  </x:cols>
  <x:sheetData>
    <x:row r="1" ht="25" customHeight="1">
      <x:c r="A1" s="238" t="str">
        <x:v>Sources &amp; Provenance</x:v>
      </x:c>
      <x:c r="B1" s="238"/>
      <x:c r="C1" s="238"/>
      <x:c r="D1" s="238"/>
      <x:c r="E1" s="238"/>
      <x:c r="F1" s="238"/>
    </x:row>
    <x:row r="2" ht="25" customHeight="1">
      <x:c r="A2" s="238"/>
      <x:c r="B2" s="238"/>
      <x:c r="C2" s="238"/>
      <x:c r="D2" s="238"/>
      <x:c r="E2" s="238"/>
      <x:c r="F2" s="238"/>
    </x:row>
    <x:row r="3" ht="25" customHeight="1">
      <x:c r="A3" s="239" t="str">
        <x:v>Clear separation of real reference data and generated operational records.</x:v>
      </x:c>
      <x:c r="B3" s="239"/>
      <x:c r="C3" s="239"/>
      <x:c r="D3" s="239"/>
      <x:c r="E3" s="239"/>
      <x:c r="F3" s="239"/>
    </x:row>
    <x:row r="4" ht="34" customHeight="1">
      <x:c r="A4" s="286" t="str">
        <x:v>Source</x:v>
      </x:c>
      <x:c r="B4" s="287" t="str">
        <x:v>Classification</x:v>
      </x:c>
      <x:c r="C4" s="287" t="str">
        <x:v>Purpose</x:v>
      </x:c>
      <x:c r="D4" s="287" t="str">
        <x:v>Coverage / Version</x:v>
      </x:c>
      <x:c r="E4" s="287" t="str">
        <x:v>Repository Location</x:v>
      </x:c>
      <x:c r="F4" s="288" t="str">
        <x:v>URL</x:v>
      </x:c>
    </x:row>
    <x:row r="5" ht="58" customHeight="1">
      <x:c r="A5" s="343" t="str">
        <x:v>CommercePulse operational facts and dimensions</x:v>
      </x:c>
      <x:c r="B5" s="343" t="str">
        <x:v>Deterministic synthetic</x:v>
      </x:c>
      <x:c r="C5" s="343" t="str">
        <x:v>Commerce demand, orders, products, customers, marketing, returns, fulfillment, targets, inventory</x:v>
      </x:c>
      <x:c r="D5" s="343" t="str">
        <x:v>2025-01-01 to 2025-06-30; seed 20260813</x:v>
      </x:c>
      <x:c r="E5" s="343" t="str">
        <x:v>data/sample/{raw,clean,quarantine}</x:v>
      </x:c>
      <x:c r="F5" s="343" t="str">
        <x:v>Generated locally</x:v>
      </x:c>
    </x:row>
    <x:row r="6" ht="58" customHeight="1">
      <x:c r="A6" s="346" t="str">
        <x:v>ECB euro foreign exchange reference rates</x:v>
      </x:c>
      <x:c r="B6" s="346" t="str">
        <x:v>Real public reference data</x:v>
      </x:c>
      <x:c r="C6" s="346" t="str">
        <x:v>Convert GBP, PLN, and SEK-denominated generated values to EUR</x:v>
      </x:c>
      <x:c r="D6" s="346" t="str">
        <x:v>Cached historical daily observations</x:v>
      </x:c>
      <x:c r="E6" s="346" t="str">
        <x:v>data/reference/ecb/eurofxref-hist.csv</x:v>
      </x:c>
      <x:c r="F6" s="346" t="str">
        <x:v>https://www.ecb.europa.eu/stats/policy_and_exchange_rates/euro_reference_exchange_rates/html/index.en.html</x:v>
      </x:c>
    </x:row>
    <x:row r="7" ht="58" customHeight="1">
      <x:c r="A7" s="346" t="str">
        <x:v>Business targets</x:v>
      </x:c>
      <x:c r="B7" s="346" t="str">
        <x:v>Deterministic synthetic</x:v>
      </x:c>
      <x:c r="C7" s="346" t="str">
        <x:v>Revenue, contribution, and order performance comparison</x:v>
      </x:c>
      <x:c r="D7" s="346" t="str">
        <x:v>Monthly × market × channel</x:v>
      </x:c>
      <x:c r="E7" s="346" t="str">
        <x:v>data/sample/clean/fact_targets.parquet</x:v>
      </x:c>
      <x:c r="F7" s="346" t="str">
        <x:v>Generated locally</x:v>
      </x:c>
    </x:row>
    <x:row r="8" ht="58" customHeight="1">
      <x:c r="A8" s="349" t="str">
        <x:v>Analysis outputs</x:v>
      </x:c>
      <x:c r="B8" s="349" t="str">
        <x:v>Derived synthetic findings</x:v>
      </x:c>
      <x:c r="C8" s="349" t="str">
        <x:v>Manager pack, dashboard, notebook, root causes, forecast, and actions</x:v>
      </x:c>
      <x:c r="D8" s="349" t="str">
        <x:v>CI sample profile</x:v>
      </x:c>
      <x:c r="E8" s="349" t="str">
        <x:v>artifacts/analysis</x:v>
      </x:c>
      <x:c r="F8" s="349" t="str">
        <x:v>Generated locally</x:v>
      </x:c>
    </x:row>
    <x:row r="9">
      <x:c r="A9" s="240"/>
      <x:c r="B9" s="240"/>
      <x:c r="C9" s="240"/>
      <x:c r="D9" s="240"/>
      <x:c r="E9" s="240"/>
      <x:c r="F9" s="240"/>
    </x:row>
    <x:row r="10">
      <x:c r="A10" s="291" t="str">
        <x:v>Disclosure</x:v>
      </x:c>
      <x:c r="B10" s="292"/>
      <x:c r="C10" s="292"/>
      <x:c r="D10" s="292"/>
      <x:c r="E10" s="292"/>
      <x:c r="F10" s="293"/>
    </x:row>
    <x:row r="11">
      <x:c r="A11" s="356" t="str">
        <x:v>All customers, sessions, orders, products, marketing, fulfillment, returns, inventory, targets, and findings are synthetic. ECB exchange-rate observations are real reference data.</x:v>
      </x:c>
      <x:c r="B11" s="357"/>
      <x:c r="C11" s="357"/>
      <x:c r="D11" s="357"/>
      <x:c r="E11" s="357"/>
      <x:c r="F11" s="358"/>
    </x:row>
    <x:row r="12">
      <x:c r="A12" s="359"/>
      <x:c r="B12" s="360"/>
      <x:c r="C12" s="360"/>
      <x:c r="D12" s="360"/>
      <x:c r="E12" s="360"/>
      <x:c r="F12" s="361"/>
    </x:row>
  </x:sheetData>
  <x:mergeCells>
    <x:mergeCell ref="A1:F2"/>
    <x:mergeCell ref="A3:F3"/>
    <x:mergeCell ref="A10:F10"/>
    <x:mergeCell ref="A11:F12"/>
  </x:mergeCells>
  <x:pageMargins left="0.7" right="0.7" top="0.75" bottom="0.75" header="0.3" footer="0.3"/>
  <x:legacyDrawing xmlns:r="http://schemas.openxmlformats.org/officeDocument/2006/relationships" r:id="Rce17cf53da46484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1" hidden="0" customWidth="1"/>
    <x:col min="3" max="3" width="24" hidden="0" customWidth="1"/>
    <x:col min="4" max="4" width="23" hidden="0" customWidth="1"/>
    <x:col min="5" max="5" width="45" hidden="0" customWidth="1"/>
    <x:col min="6" max="6" width="14" hidden="0" customWidth="1"/>
    <x:col min="7" max="7" width="16" hidden="0" customWidth="1"/>
  </x:cols>
  <x:sheetData>
    <x:row r="1" ht="25" customHeight="1">
      <x:c r="A1" s="238" t="str">
        <x:v>Checks &amp; Reconciliations</x:v>
      </x:c>
      <x:c r="B1" s="238"/>
      <x:c r="C1" s="238"/>
      <x:c r="D1" s="238"/>
      <x:c r="E1" s="238"/>
      <x:c r="F1" s="238"/>
      <x:c r="G1" s="238"/>
    </x:row>
    <x:row r="2" ht="25" customHeight="1">
      <x:c r="A2" s="238"/>
      <x:c r="B2" s="238"/>
      <x:c r="C2" s="238"/>
      <x:c r="D2" s="238"/>
      <x:c r="E2" s="238"/>
      <x:c r="F2" s="238"/>
      <x:c r="G2" s="238"/>
    </x:row>
    <x:row r="3" ht="25" customHeight="1">
      <x:c r="A3" s="239" t="str">
        <x:v>The workbook reads the same PASS/FAIL evidence used by the automated pipeline and adds a formula-based gate.</x:v>
      </x:c>
      <x:c r="B3" s="239"/>
      <x:c r="C3" s="239"/>
      <x:c r="D3" s="239"/>
      <x:c r="E3" s="239"/>
      <x:c r="F3" s="239"/>
      <x:c r="G3" s="239"/>
    </x:row>
    <x:row r="4">
      <x:c r="A4" s="240"/>
      <x:c r="B4" s="240"/>
      <x:c r="C4" s="240"/>
      <x:c r="D4" s="240"/>
      <x:c r="E4" s="240"/>
      <x:c r="F4" s="240"/>
      <x:c r="G4" s="240"/>
    </x:row>
    <x:row r="5">
      <x:c r="A5" s="362" t="str">
        <x:v>Workbook Gate</x:v>
      </x:c>
      <x:c r="B5" s="363" t="str">
        <x:f>IF(COUNTIF(G9:G40,"FAIL")=0,"PASS","FAIL")</x:f>
        <x:v>PASS</x:v>
      </x:c>
      <x:c r="C5" s="240"/>
      <x:c r="D5" s="240"/>
      <x:c r="E5" s="240"/>
      <x:c r="F5" s="240"/>
      <x:c r="G5" s="240"/>
    </x:row>
    <x:row r="6">
      <x:c r="A6" s="364" t="str">
        <x:v>Checks evaluated</x:v>
      </x:c>
      <x:c r="B6" s="365" t="n">
        <x:f>COUNTA(G9:G40)</x:f>
        <x:v>32</x:v>
      </x:c>
      <x:c r="C6" s="240"/>
      <x:c r="D6" s="240"/>
      <x:c r="E6" s="240"/>
      <x:c r="F6" s="240"/>
      <x:c r="G6" s="240"/>
    </x:row>
    <x:row r="7">
      <x:c r="A7" s="240"/>
      <x:c r="B7" s="240"/>
      <x:c r="C7" s="240"/>
      <x:c r="D7" s="240"/>
      <x:c r="E7" s="240"/>
      <x:c r="F7" s="240"/>
      <x:c r="G7" s="240"/>
    </x:row>
    <x:row r="8" ht="34" customHeight="1">
      <x:c r="A8" s="286" t="str">
        <x:v>Source</x:v>
      </x:c>
      <x:c r="B8" s="287" t="str">
        <x:v>Check</x:v>
      </x:c>
      <x:c r="C8" s="287" t="str">
        <x:v>Table / Scope</x:v>
      </x:c>
      <x:c r="D8" s="287" t="str">
        <x:v>Observed</x:v>
      </x:c>
      <x:c r="E8" s="287" t="str">
        <x:v>Expected</x:v>
      </x:c>
      <x:c r="F8" s="287" t="str">
        <x:v>Source Status</x:v>
      </x:c>
      <x:c r="G8" s="288" t="str">
        <x:v>Workbook Status</x:v>
      </x:c>
    </x:row>
    <x:row r="9">
      <x:c r="A9" s="330" t="str">
        <x:v>Data quality</x:v>
      </x:c>
      <x:c r="B9" s="330" t="str">
        <x:v>required_columns</x:v>
      </x:c>
      <x:c r="C9" s="330" t="str">
        <x:v>dim_date</x:v>
      </x:c>
      <x:c r="D9" s="330" t="str">
        <x:v>all present</x:v>
      </x:c>
      <x:c r="E9" s="330" t="str">
        <x:v>all required columns present</x:v>
      </x:c>
      <x:c r="F9" s="330" t="str">
        <x:v>PASS</x:v>
      </x:c>
      <x:c r="G9" s="330" t="str">
        <x:f>IF(F9="PASS","PASS","FAIL")</x:f>
        <x:v>PASS</x:v>
      </x:c>
    </x:row>
    <x:row r="10">
      <x:c r="A10" s="334" t="str">
        <x:v>Data quality</x:v>
      </x:c>
      <x:c r="B10" s="334" t="str">
        <x:v>required_columns</x:v>
      </x:c>
      <x:c r="C10" s="334" t="str">
        <x:v>dim_geography</x:v>
      </x:c>
      <x:c r="D10" s="334" t="str">
        <x:v>all present</x:v>
      </x:c>
      <x:c r="E10" s="334" t="str">
        <x:v>all required columns present</x:v>
      </x:c>
      <x:c r="F10" s="334" t="str">
        <x:v>PASS</x:v>
      </x:c>
      <x:c r="G10" s="334" t="str">
        <x:f>IF(F10="PASS","PASS","FAIL")</x:f>
        <x:v>PASS</x:v>
      </x:c>
    </x:row>
    <x:row r="11">
      <x:c r="A11" s="334" t="str">
        <x:v>Data quality</x:v>
      </x:c>
      <x:c r="B11" s="334" t="str">
        <x:v>required_columns</x:v>
      </x:c>
      <x:c r="C11" s="334" t="str">
        <x:v>dim_channel</x:v>
      </x:c>
      <x:c r="D11" s="334" t="str">
        <x:v>all present</x:v>
      </x:c>
      <x:c r="E11" s="334" t="str">
        <x:v>all required columns present</x:v>
      </x:c>
      <x:c r="F11" s="334" t="str">
        <x:v>PASS</x:v>
      </x:c>
      <x:c r="G11" s="334" t="str">
        <x:f>IF(F11="PASS","PASS","FAIL")</x:f>
        <x:v>PASS</x:v>
      </x:c>
    </x:row>
    <x:row r="12">
      <x:c r="A12" s="334" t="str">
        <x:v>Data quality</x:v>
      </x:c>
      <x:c r="B12" s="334" t="str">
        <x:v>required_columns</x:v>
      </x:c>
      <x:c r="C12" s="334" t="str">
        <x:v>dim_campaign</x:v>
      </x:c>
      <x:c r="D12" s="334" t="str">
        <x:v>all present</x:v>
      </x:c>
      <x:c r="E12" s="334" t="str">
        <x:v>all required columns present</x:v>
      </x:c>
      <x:c r="F12" s="334" t="str">
        <x:v>PASS</x:v>
      </x:c>
      <x:c r="G12" s="334" t="str">
        <x:f>IF(F12="PASS","PASS","FAIL")</x:f>
        <x:v>PASS</x:v>
      </x:c>
    </x:row>
    <x:row r="13">
      <x:c r="A13" s="334" t="str">
        <x:v>Data quality</x:v>
      </x:c>
      <x:c r="B13" s="334" t="str">
        <x:v>required_columns</x:v>
      </x:c>
      <x:c r="C13" s="334" t="str">
        <x:v>dim_customer</x:v>
      </x:c>
      <x:c r="D13" s="334" t="str">
        <x:v>all present</x:v>
      </x:c>
      <x:c r="E13" s="334" t="str">
        <x:v>all required columns present</x:v>
      </x:c>
      <x:c r="F13" s="334" t="str">
        <x:v>PASS</x:v>
      </x:c>
      <x:c r="G13" s="334" t="str">
        <x:f>IF(F13="PASS","PASS","FAIL")</x:f>
        <x:v>PASS</x:v>
      </x:c>
    </x:row>
    <x:row r="14">
      <x:c r="A14" s="334" t="str">
        <x:v>Data quality</x:v>
      </x:c>
      <x:c r="B14" s="334" t="str">
        <x:v>required_columns</x:v>
      </x:c>
      <x:c r="C14" s="334" t="str">
        <x:v>dim_product</x:v>
      </x:c>
      <x:c r="D14" s="334" t="str">
        <x:v>all present</x:v>
      </x:c>
      <x:c r="E14" s="334" t="str">
        <x:v>all required columns present</x:v>
      </x:c>
      <x:c r="F14" s="334" t="str">
        <x:v>PASS</x:v>
      </x:c>
      <x:c r="G14" s="334" t="str">
        <x:f>IF(F14="PASS","PASS","FAIL")</x:f>
        <x:v>PASS</x:v>
      </x:c>
    </x:row>
    <x:row r="15">
      <x:c r="A15" s="334" t="str">
        <x:v>Data quality</x:v>
      </x:c>
      <x:c r="B15" s="334" t="str">
        <x:v>required_columns</x:v>
      </x:c>
      <x:c r="C15" s="334" t="str">
        <x:v>bridge_market_holiday</x:v>
      </x:c>
      <x:c r="D15" s="334" t="str">
        <x:v>all present</x:v>
      </x:c>
      <x:c r="E15" s="334" t="str">
        <x:v>all required columns present</x:v>
      </x:c>
      <x:c r="F15" s="334" t="str">
        <x:v>PASS</x:v>
      </x:c>
      <x:c r="G15" s="334" t="str">
        <x:f>IF(F15="PASS","PASS","FAIL")</x:f>
        <x:v>PASS</x:v>
      </x:c>
    </x:row>
    <x:row r="16">
      <x:c r="A16" s="334" t="str">
        <x:v>Data quality</x:v>
      </x:c>
      <x:c r="B16" s="334" t="str">
        <x:v>required_columns</x:v>
      </x:c>
      <x:c r="C16" s="334" t="str">
        <x:v>ref_fx_rates</x:v>
      </x:c>
      <x:c r="D16" s="334" t="str">
        <x:v>all present</x:v>
      </x:c>
      <x:c r="E16" s="334" t="str">
        <x:v>all required columns present</x:v>
      </x:c>
      <x:c r="F16" s="334" t="str">
        <x:v>PASS</x:v>
      </x:c>
      <x:c r="G16" s="334" t="str">
        <x:f>IF(F16="PASS","PASS","FAIL")</x:f>
        <x:v>PASS</x:v>
      </x:c>
    </x:row>
    <x:row r="17">
      <x:c r="A17" s="334" t="str">
        <x:v>Data quality</x:v>
      </x:c>
      <x:c r="B17" s="334" t="str">
        <x:v>required_columns</x:v>
      </x:c>
      <x:c r="C17" s="334" t="str">
        <x:v>fact_sessions</x:v>
      </x:c>
      <x:c r="D17" s="334" t="str">
        <x:v>all present</x:v>
      </x:c>
      <x:c r="E17" s="334" t="str">
        <x:v>all required columns present</x:v>
      </x:c>
      <x:c r="F17" s="334" t="str">
        <x:v>PASS</x:v>
      </x:c>
      <x:c r="G17" s="334" t="str">
        <x:f>IF(F17="PASS","PASS","FAIL")</x:f>
        <x:v>PASS</x:v>
      </x:c>
    </x:row>
    <x:row r="18">
      <x:c r="A18" s="334" t="str">
        <x:v>Data quality</x:v>
      </x:c>
      <x:c r="B18" s="334" t="str">
        <x:v>required_columns</x:v>
      </x:c>
      <x:c r="C18" s="334" t="str">
        <x:v>fact_orders</x:v>
      </x:c>
      <x:c r="D18" s="334" t="str">
        <x:v>all present</x:v>
      </x:c>
      <x:c r="E18" s="334" t="str">
        <x:v>all required columns present</x:v>
      </x:c>
      <x:c r="F18" s="334" t="str">
        <x:v>PASS</x:v>
      </x:c>
      <x:c r="G18" s="334" t="str">
        <x:f>IF(F18="PASS","PASS","FAIL")</x:f>
        <x:v>PASS</x:v>
      </x:c>
    </x:row>
    <x:row r="19">
      <x:c r="A19" s="334" t="str">
        <x:v>Data quality</x:v>
      </x:c>
      <x:c r="B19" s="334" t="str">
        <x:v>required_columns</x:v>
      </x:c>
      <x:c r="C19" s="334" t="str">
        <x:v>fact_order_items</x:v>
      </x:c>
      <x:c r="D19" s="334" t="str">
        <x:v>all present</x:v>
      </x:c>
      <x:c r="E19" s="334" t="str">
        <x:v>all required columns present</x:v>
      </x:c>
      <x:c r="F19" s="334" t="str">
        <x:v>PASS</x:v>
      </x:c>
      <x:c r="G19" s="334" t="str">
        <x:f>IF(F19="PASS","PASS","FAIL")</x:f>
        <x:v>PASS</x:v>
      </x:c>
    </x:row>
    <x:row r="20">
      <x:c r="A20" s="334" t="str">
        <x:v>Data quality</x:v>
      </x:c>
      <x:c r="B20" s="334" t="str">
        <x:v>required_columns</x:v>
      </x:c>
      <x:c r="C20" s="334" t="str">
        <x:v>fact_marketing_spend</x:v>
      </x:c>
      <x:c r="D20" s="334" t="str">
        <x:v>all present</x:v>
      </x:c>
      <x:c r="E20" s="334" t="str">
        <x:v>all required columns present</x:v>
      </x:c>
      <x:c r="F20" s="334" t="str">
        <x:v>PASS</x:v>
      </x:c>
      <x:c r="G20" s="334" t="str">
        <x:f>IF(F20="PASS","PASS","FAIL")</x:f>
        <x:v>PASS</x:v>
      </x:c>
    </x:row>
    <x:row r="21">
      <x:c r="A21" s="334" t="str">
        <x:v>Data quality</x:v>
      </x:c>
      <x:c r="B21" s="334" t="str">
        <x:v>required_columns</x:v>
      </x:c>
      <x:c r="C21" s="334" t="str">
        <x:v>fact_fulfillment</x:v>
      </x:c>
      <x:c r="D21" s="334" t="str">
        <x:v>all present</x:v>
      </x:c>
      <x:c r="E21" s="334" t="str">
        <x:v>all required columns present</x:v>
      </x:c>
      <x:c r="F21" s="334" t="str">
        <x:v>PASS</x:v>
      </x:c>
      <x:c r="G21" s="334" t="str">
        <x:f>IF(F21="PASS","PASS","FAIL")</x:f>
        <x:v>PASS</x:v>
      </x:c>
    </x:row>
    <x:row r="22">
      <x:c r="A22" s="334" t="str">
        <x:v>Data quality</x:v>
      </x:c>
      <x:c r="B22" s="334" t="str">
        <x:v>required_columns</x:v>
      </x:c>
      <x:c r="C22" s="334" t="str">
        <x:v>fact_returns</x:v>
      </x:c>
      <x:c r="D22" s="334" t="str">
        <x:v>all present</x:v>
      </x:c>
      <x:c r="E22" s="334" t="str">
        <x:v>all required columns present</x:v>
      </x:c>
      <x:c r="F22" s="334" t="str">
        <x:v>PASS</x:v>
      </x:c>
      <x:c r="G22" s="334" t="str">
        <x:f>IF(F22="PASS","PASS","FAIL")</x:f>
        <x:v>PASS</x:v>
      </x:c>
    </x:row>
    <x:row r="23">
      <x:c r="A23" s="334" t="str">
        <x:v>Data quality</x:v>
      </x:c>
      <x:c r="B23" s="334" t="str">
        <x:v>required_columns</x:v>
      </x:c>
      <x:c r="C23" s="334" t="str">
        <x:v>fact_inventory_snapshot</x:v>
      </x:c>
      <x:c r="D23" s="334" t="str">
        <x:v>all present</x:v>
      </x:c>
      <x:c r="E23" s="334" t="str">
        <x:v>all required columns present</x:v>
      </x:c>
      <x:c r="F23" s="334" t="str">
        <x:v>PASS</x:v>
      </x:c>
      <x:c r="G23" s="334" t="str">
        <x:f>IF(F23="PASS","PASS","FAIL")</x:f>
        <x:v>PASS</x:v>
      </x:c>
    </x:row>
    <x:row r="24">
      <x:c r="A24" s="334" t="str">
        <x:v>Data quality</x:v>
      </x:c>
      <x:c r="B24" s="334" t="str">
        <x:v>required_columns</x:v>
      </x:c>
      <x:c r="C24" s="334" t="str">
        <x:v>fact_targets</x:v>
      </x:c>
      <x:c r="D24" s="334" t="str">
        <x:v>all present</x:v>
      </x:c>
      <x:c r="E24" s="334" t="str">
        <x:v>all required columns present</x:v>
      </x:c>
      <x:c r="F24" s="334" t="str">
        <x:v>PASS</x:v>
      </x:c>
      <x:c r="G24" s="334" t="str">
        <x:f>IF(F24="PASS","PASS","FAIL")</x:f>
        <x:v>PASS</x:v>
      </x:c>
    </x:row>
    <x:row r="25">
      <x:c r="A25" s="334" t="str">
        <x:v>Data quality</x:v>
      </x:c>
      <x:c r="B25" s="334" t="str">
        <x:v>unique_session_id</x:v>
      </x:c>
      <x:c r="C25" s="334" t="str">
        <x:v>fact_sessions</x:v>
      </x:c>
      <x:c r="D25" s="334" t="str">
        <x:v>0</x:v>
      </x:c>
      <x:c r="E25" s="334" t="str">
        <x:v>0 duplicate IDs</x:v>
      </x:c>
      <x:c r="F25" s="334" t="str">
        <x:v>PASS</x:v>
      </x:c>
      <x:c r="G25" s="334" t="str">
        <x:f>IF(F25="PASS","PASS","FAIL")</x:f>
        <x:v>PASS</x:v>
      </x:c>
    </x:row>
    <x:row r="26">
      <x:c r="A26" s="334" t="str">
        <x:v>Data quality</x:v>
      </x:c>
      <x:c r="B26" s="334" t="str">
        <x:v>session_market_not_null</x:v>
      </x:c>
      <x:c r="C26" s="334" t="str">
        <x:v>fact_sessions</x:v>
      </x:c>
      <x:c r="D26" s="334" t="str">
        <x:v>0</x:v>
      </x:c>
      <x:c r="E26" s="334" t="str">
        <x:v>0 null market keys</x:v>
      </x:c>
      <x:c r="F26" s="334" t="str">
        <x:v>PASS</x:v>
      </x:c>
      <x:c r="G26" s="334" t="str">
        <x:f>IF(F26="PASS","PASS","FAIL")</x:f>
        <x:v>PASS</x:v>
      </x:c>
    </x:row>
    <x:row r="27">
      <x:c r="A27" s="334" t="str">
        <x:v>Data quality</x:v>
      </x:c>
      <x:c r="B27" s="334" t="str">
        <x:v>unique_order_id</x:v>
      </x:c>
      <x:c r="C27" s="334" t="str">
        <x:v>fact_orders</x:v>
      </x:c>
      <x:c r="D27" s="334" t="str">
        <x:v>0</x:v>
      </x:c>
      <x:c r="E27" s="334" t="str">
        <x:v>0 duplicate IDs</x:v>
      </x:c>
      <x:c r="F27" s="334" t="str">
        <x:v>PASS</x:v>
      </x:c>
      <x:c r="G27" s="334" t="str">
        <x:f>IF(F27="PASS","PASS","FAIL")</x:f>
        <x:v>PASS</x:v>
      </x:c>
    </x:row>
    <x:row r="28">
      <x:c r="A28" s="334" t="str">
        <x:v>Data quality</x:v>
      </x:c>
      <x:c r="B28" s="334" t="str">
        <x:v>unique_order_item_id</x:v>
      </x:c>
      <x:c r="C28" s="334" t="str">
        <x:v>fact_order_items</x:v>
      </x:c>
      <x:c r="D28" s="334" t="str">
        <x:v>0</x:v>
      </x:c>
      <x:c r="E28" s="334" t="str">
        <x:v>0 duplicate IDs</x:v>
      </x:c>
      <x:c r="F28" s="334" t="str">
        <x:v>PASS</x:v>
      </x:c>
      <x:c r="G28" s="334" t="str">
        <x:f>IF(F28="PASS","PASS","FAIL")</x:f>
        <x:v>PASS</x:v>
      </x:c>
    </x:row>
    <x:row r="29">
      <x:c r="A29" s="334" t="str">
        <x:v>Data quality</x:v>
      </x:c>
      <x:c r="B29" s="334" t="str">
        <x:v>order_item_product_fk</x:v>
      </x:c>
      <x:c r="C29" s="334" t="str">
        <x:v>fact_order_items</x:v>
      </x:c>
      <x:c r="D29" s="334" t="str">
        <x:v>0</x:v>
      </x:c>
      <x:c r="E29" s="334" t="str">
        <x:v>0 orphan product keys</x:v>
      </x:c>
      <x:c r="F29" s="334" t="str">
        <x:v>PASS</x:v>
      </x:c>
      <x:c r="G29" s="334" t="str">
        <x:f>IF(F29="PASS","PASS","FAIL")</x:f>
        <x:v>PASS</x:v>
      </x:c>
    </x:row>
    <x:row r="30">
      <x:c r="A30" s="334" t="str">
        <x:v>Data quality</x:v>
      </x:c>
      <x:c r="B30" s="334" t="str">
        <x:v>positive_item_quantity</x:v>
      </x:c>
      <x:c r="C30" s="334" t="str">
        <x:v>fact_order_items</x:v>
      </x:c>
      <x:c r="D30" s="334" t="str">
        <x:v>0</x:v>
      </x:c>
      <x:c r="E30" s="334" t="str">
        <x:v>0 nonpositive quantities</x:v>
      </x:c>
      <x:c r="F30" s="334" t="str">
        <x:v>PASS</x:v>
      </x:c>
      <x:c r="G30" s="334" t="str">
        <x:f>IF(F30="PASS","PASS","FAIL")</x:f>
        <x:v>PASS</x:v>
      </x:c>
    </x:row>
    <x:row r="31">
      <x:c r="A31" s="334" t="str">
        <x:v>Data quality</x:v>
      </x:c>
      <x:c r="B31" s="334" t="str">
        <x:v>nonnegative_marketing_spend</x:v>
      </x:c>
      <x:c r="C31" s="334" t="str">
        <x:v>fact_marketing_spend</x:v>
      </x:c>
      <x:c r="D31" s="334" t="str">
        <x:v>0</x:v>
      </x:c>
      <x:c r="E31" s="334" t="str">
        <x:v>0 negative spend rows</x:v>
      </x:c>
      <x:c r="F31" s="334" t="str">
        <x:v>PASS</x:v>
      </x:c>
      <x:c r="G31" s="334" t="str">
        <x:f>IF(F31="PASS","PASS","FAIL")</x:f>
        <x:v>PASS</x:v>
      </x:c>
    </x:row>
    <x:row r="32">
      <x:c r="A32" s="334" t="str">
        <x:v>Data quality</x:v>
      </x:c>
      <x:c r="B32" s="334" t="str">
        <x:v>fulfillment_date_sequence</x:v>
      </x:c>
      <x:c r="C32" s="334" t="str">
        <x:v>fact_fulfillment</x:v>
      </x:c>
      <x:c r="D32" s="334" t="str">
        <x:v>0</x:v>
      </x:c>
      <x:c r="E32" s="334" t="str">
        <x:v>0 delivered-before-shipped rows</x:v>
      </x:c>
      <x:c r="F32" s="334" t="str">
        <x:v>PASS</x:v>
      </x:c>
      <x:c r="G32" s="334" t="str">
        <x:f>IF(F32="PASS","PASS","FAIL")</x:f>
        <x:v>PASS</x:v>
      </x:c>
    </x:row>
    <x:row r="33">
      <x:c r="A33" s="334" t="str">
        <x:v>Data quality</x:v>
      </x:c>
      <x:c r="B33" s="334" t="str">
        <x:v>return_item_fk</x:v>
      </x:c>
      <x:c r="C33" s="334" t="str">
        <x:v>fact_returns</x:v>
      </x:c>
      <x:c r="D33" s="334" t="str">
        <x:v>0</x:v>
      </x:c>
      <x:c r="E33" s="334" t="str">
        <x:v>0 orphan order-item keys</x:v>
      </x:c>
      <x:c r="F33" s="334" t="str">
        <x:v>PASS</x:v>
      </x:c>
      <x:c r="G33" s="334" t="str">
        <x:f>IF(F33="PASS","PASS","FAIL")</x:f>
        <x:v>PASS</x:v>
      </x:c>
    </x:row>
    <x:row r="34">
      <x:c r="A34" s="334" t="str">
        <x:v>Data quality</x:v>
      </x:c>
      <x:c r="B34" s="334" t="str">
        <x:v>nonnegative_inventory</x:v>
      </x:c>
      <x:c r="C34" s="334" t="str">
        <x:v>fact_inventory_snapshot</x:v>
      </x:c>
      <x:c r="D34" s="334" t="str">
        <x:v>0</x:v>
      </x:c>
      <x:c r="E34" s="334" t="str">
        <x:v>0 negative on-hand rows</x:v>
      </x:c>
      <x:c r="F34" s="334" t="str">
        <x:v>PASS</x:v>
      </x:c>
      <x:c r="G34" s="334" t="str">
        <x:f>IF(F34="PASS","PASS","FAIL")</x:f>
        <x:v>PASS</x:v>
      </x:c>
    </x:row>
    <x:row r="35">
      <x:c r="A35" s="334" t="str">
        <x:v>Data quality</x:v>
      </x:c>
      <x:c r="B35" s="334" t="str">
        <x:v>order_item_reconciliation</x:v>
      </x:c>
      <x:c r="C35" s="334" t="str">
        <x:v>fact_orders</x:v>
      </x:c>
      <x:c r="D35" s="334" t="str">
        <x:v>0.0</x:v>
      </x:c>
      <x:c r="E35" s="334" t="str">
        <x:v>maximum order-level delta &lt;= EUR-equivalent local 0.02</x:v>
      </x:c>
      <x:c r="F35" s="334" t="str">
        <x:v>PASS</x:v>
      </x:c>
      <x:c r="G35" s="334" t="str">
        <x:f>IF(F35="PASS","PASS","FAIL")</x:f>
        <x:v>PASS</x:v>
      </x:c>
    </x:row>
    <x:row r="36">
      <x:c r="A36" s="334" t="str">
        <x:v>Data quality</x:v>
      </x:c>
      <x:c r="B36" s="334" t="str">
        <x:v>pandera_schema</x:v>
      </x:c>
      <x:c r="C36" s="334" t="str">
        <x:v>fact_sessions</x:v>
      </x:c>
      <x:c r="D36" s="334" t="str">
        <x:v>schema valid</x:v>
      </x:c>
      <x:c r="E36" s="334" t="str">
        <x:v>no Pandera violations</x:v>
      </x:c>
      <x:c r="F36" s="334" t="str">
        <x:v>PASS</x:v>
      </x:c>
      <x:c r="G36" s="334" t="str">
        <x:f>IF(F36="PASS","PASS","FAIL")</x:f>
        <x:v>PASS</x:v>
      </x:c>
    </x:row>
    <x:row r="37">
      <x:c r="A37" s="334" t="str">
        <x:v>Data quality</x:v>
      </x:c>
      <x:c r="B37" s="334" t="str">
        <x:v>pandera_schema</x:v>
      </x:c>
      <x:c r="C37" s="334" t="str">
        <x:v>fact_order_items</x:v>
      </x:c>
      <x:c r="D37" s="334" t="str">
        <x:v>schema valid</x:v>
      </x:c>
      <x:c r="E37" s="334" t="str">
        <x:v>no Pandera violations</x:v>
      </x:c>
      <x:c r="F37" s="334" t="str">
        <x:v>PASS</x:v>
      </x:c>
      <x:c r="G37" s="334" t="str">
        <x:f>IF(F37="PASS","PASS","FAIL")</x:f>
        <x:v>PASS</x:v>
      </x:c>
    </x:row>
    <x:row r="38">
      <x:c r="A38" s="334" t="str">
        <x:v>Analysis reconciliation</x:v>
      </x:c>
      <x:c r="B38" s="334" t="str">
        <x:v>Item contribution identity</x:v>
      </x:c>
      <x:c r="C38" s="334" t="str">
        <x:v>Portfolio</x:v>
      </x:c>
      <x:c r="D38" s="334" t="str">
        <x:v>0.0</x:v>
      </x:c>
      <x:c r="E38" s="334" t="str">
        <x:v>threshold 1e-06</x:v>
      </x:c>
      <x:c r="F38" s="334" t="str">
        <x:v>PASS</x:v>
      </x:c>
      <x:c r="G38" s="334" t="str">
        <x:f>IF(F38="PASS","PASS","FAIL")</x:f>
        <x:v>PASS</x:v>
      </x:c>
    </x:row>
    <x:row r="39">
      <x:c r="A39" s="334" t="str">
        <x:v>Analysis reconciliation</x:v>
      </x:c>
      <x:c r="B39" s="334" t="str">
        <x:v>Monthly net revenue reconciles to item detail</x:v>
      </x:c>
      <x:c r="C39" s="334" t="str">
        <x:v>Portfolio</x:v>
      </x:c>
      <x:c r="D39" s="334" t="str">
        <x:v>2.3283064365386963e-10</x:v>
      </x:c>
      <x:c r="E39" s="334" t="str">
        <x:v>threshold 0.02</x:v>
      </x:c>
      <x:c r="F39" s="334" t="str">
        <x:v>PASS</x:v>
      </x:c>
      <x:c r="G39" s="334" t="str">
        <x:f>IF(F39="PASS","PASS","FAIL")</x:f>
        <x:v>PASS</x:v>
      </x:c>
    </x:row>
    <x:row r="40">
      <x:c r="A40" s="338" t="str">
        <x:v>Analysis reconciliation</x:v>
      </x:c>
      <x:c r="B40" s="338" t="str">
        <x:v>Marketing allocation coverage</x:v>
      </x:c>
      <x:c r="C40" s="338" t="str">
        <x:v>Portfolio</x:v>
      </x:c>
      <x:c r="D40" s="338" t="str">
        <x:v>0.0</x:v>
      </x:c>
      <x:c r="E40" s="338" t="str">
        <x:v>threshold 1750.939579242316</x:v>
      </x:c>
      <x:c r="F40" s="338" t="str">
        <x:v>PASS</x:v>
      </x:c>
      <x:c r="G40" s="338" t="str">
        <x:f>IF(F40="PASS","PASS","FAIL")</x:f>
        <x:v>PASS</x:v>
      </x:c>
    </x:row>
  </x:sheetData>
  <x:mergeCells>
    <x:mergeCell ref="A1:G2"/>
    <x:mergeCell ref="A3:G3"/>
  </x:mergeCells>
  <x:conditionalFormatting sqref="B5:B5">
    <x:cfRule type="containsText" dxfId="8" priority="1" operator="containsText" text="PASS"/>
    <x:cfRule type="containsText" dxfId="9" priority="2" operator="containsText" text="FAIL"/>
  </x:conditionalFormatting>
  <x:conditionalFormatting sqref="F9:G40">
    <x:cfRule type="containsText" dxfId="10" priority="3" operator="containsText" text="PASS"/>
    <x:cfRule type="containsText" dxfId="11" priority="4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6e9ee49734de4b6a"/>
  </x:tableParts>
</x:worksheet>
</file>